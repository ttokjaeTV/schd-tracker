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2026-10-22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0.0318</v>
      </c>
      <c r="C34" s="2" t="inlineStr">
        <is>
          <t>2026-10-20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46316</v>
      </c>
      <c r="C2" s="2" t="inlineStr">
        <is>
          <t>← 이 날 종가로 계산한 비중. 그날 공식 파일을 못 받아 Schwab 공식 보유종목 CSV(2026-10-20)의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0.04485776</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CVX</t>
        </is>
      </c>
      <c r="I6" s="61" t="n">
        <v>0.04299757</v>
      </c>
      <c r="J6" s="6" t="inlineStr">
        <is>
          <t>CHEVRON</t>
        </is>
      </c>
      <c r="K6" s="6" t="inlineStr">
        <is>
          <t>Energy</t>
        </is>
      </c>
      <c r="L6" s="6" t="inlineStr">
        <is>
          <t>셰브론</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PG</t>
        </is>
      </c>
      <c r="I7" s="61" t="n">
        <v>0.042656</v>
      </c>
      <c r="J7" s="6" t="inlineStr">
        <is>
          <t>PROCTER &amp; GAMBLE</t>
        </is>
      </c>
      <c r="K7" s="6" t="inlineStr">
        <is>
          <t>Consumer Staples</t>
        </is>
      </c>
      <c r="L7" s="6" t="inlineStr">
        <is>
          <t>프록터앤드갬블</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COP</t>
        </is>
      </c>
      <c r="I8" s="61" t="n">
        <v>0.04257815</v>
      </c>
      <c r="J8" s="6" t="inlineStr">
        <is>
          <t>CONOCOPHILLIPS</t>
        </is>
      </c>
      <c r="K8" s="6" t="inlineStr">
        <is>
          <t>Energy</t>
        </is>
      </c>
      <c r="L8" s="6" t="inlineStr">
        <is>
          <t>코노코필립스</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KO</t>
        </is>
      </c>
      <c r="I9" s="61" t="n">
        <v>0.04217424</v>
      </c>
      <c r="J9" s="6" t="inlineStr">
        <is>
          <t>COCA-COLA</t>
        </is>
      </c>
      <c r="K9" s="6" t="inlineStr">
        <is>
          <t>Consumer Staples</t>
        </is>
      </c>
      <c r="L9" s="6" t="inlineStr">
        <is>
          <t>코카콜라</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QCOM</t>
        </is>
      </c>
      <c r="I10" s="61" t="n">
        <v>0.04204388</v>
      </c>
      <c r="J10" s="6" t="inlineStr">
        <is>
          <t>QUALCOMM</t>
        </is>
      </c>
      <c r="K10" s="6" t="inlineStr">
        <is>
          <t>Information Technology</t>
        </is>
      </c>
      <c r="L10" s="6" t="inlineStr">
        <is>
          <t>퀄컴</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0.04189536999999999</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AMGN</t>
        </is>
      </c>
      <c r="I12" s="61" t="n">
        <v>0.03974505</v>
      </c>
      <c r="J12" s="6" t="inlineStr">
        <is>
          <t>AMGEN INC</t>
        </is>
      </c>
      <c r="K12" s="6" t="inlineStr">
        <is>
          <t>Health Care</t>
        </is>
      </c>
      <c r="L12" s="6" t="inlineStr">
        <is>
          <t>암젠</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MRK</t>
        </is>
      </c>
      <c r="I13" s="61" t="n">
        <v>0.03968767</v>
      </c>
      <c r="J13" s="6" t="inlineStr">
        <is>
          <t>MERCK &amp; CO INC</t>
        </is>
      </c>
      <c r="K13" s="6" t="inlineStr">
        <is>
          <t>Health Care</t>
        </is>
      </c>
      <c r="L13" s="6" t="inlineStr">
        <is>
          <t>머크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HD</t>
        </is>
      </c>
      <c r="I14" s="61" t="n">
        <v>0.03960226</v>
      </c>
      <c r="J14" s="6" t="inlineStr">
        <is>
          <t>HOME DEPOT</t>
        </is>
      </c>
      <c r="K14" s="6" t="inlineStr">
        <is>
          <t>Consumer Discretionary</t>
        </is>
      </c>
      <c r="L14" s="6" t="inlineStr">
        <is>
          <t>홈디포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PEP</t>
        </is>
      </c>
      <c r="I15" s="61" t="n">
        <v>0.03849057</v>
      </c>
      <c r="J15" s="6" t="inlineStr">
        <is>
          <t>PEPSICO</t>
        </is>
      </c>
      <c r="K15" s="6" t="inlineStr">
        <is>
          <t>Consumer Staples</t>
        </is>
      </c>
      <c r="L15" s="6" t="inlineStr">
        <is>
          <t>펩시코</t>
        </is>
      </c>
      <c r="M15" s="7">
        <f>IF(H15="","",IFERROR(VLOOKUP(K15,$P$5:$Q$15,2,FALSE),"현금·선물"))</f>
        <v/>
      </c>
      <c r="P15" s="2" t="inlineStr">
        <is>
          <t>Materials</t>
        </is>
      </c>
      <c r="Q15" s="2" t="inlineStr">
        <is>
          <t>소재</t>
        </is>
      </c>
    </row>
    <row r="16">
      <c r="C16" s="3" t="inlineStr">
        <is>
          <t>합계</t>
        </is>
      </c>
      <c r="E16" s="63">
        <f>SUM(E5:E15)</f>
        <v/>
      </c>
      <c r="H16" s="6" t="inlineStr">
        <is>
          <t>ABT</t>
        </is>
      </c>
      <c r="I16" s="61" t="n">
        <v>0.03653357</v>
      </c>
      <c r="J16" s="6" t="inlineStr">
        <is>
          <t>ABBOTT LABORATORIES</t>
        </is>
      </c>
      <c r="K16" s="6" t="inlineStr">
        <is>
          <t>Health Care</t>
        </is>
      </c>
      <c r="L16" s="6" t="inlineStr">
        <is>
          <t>애보트</t>
        </is>
      </c>
      <c r="M16" s="7">
        <f>IF(H16="","",IFERROR(VLOOKUP(K16,$P$5:$Q$15,2,FALSE),"현금·선물"))</f>
        <v/>
      </c>
    </row>
    <row r="17">
      <c r="C17" s="4" t="inlineStr">
        <is>
          <t>TOP10 합계</t>
        </is>
      </c>
      <c r="E17" s="62">
        <f>SUM(E5:E14)</f>
        <v/>
      </c>
      <c r="H17" s="6" t="inlineStr">
        <is>
          <t>ACN</t>
        </is>
      </c>
      <c r="I17" s="61" t="n">
        <v>0.03577195</v>
      </c>
      <c r="J17" s="6" t="inlineStr">
        <is>
          <t>ACCENTURE PLC CLASS A</t>
        </is>
      </c>
      <c r="K17" s="6" t="inlineStr">
        <is>
          <t>Information Technology</t>
        </is>
      </c>
      <c r="L17" s="6" t="inlineStr">
        <is>
          <t>액센츄어</t>
        </is>
      </c>
      <c r="M17" s="7">
        <f>IF(H17="","",IFERROR(VLOOKUP(K17,$P$5:$Q$15,2,FALSE),"현금·선물"))</f>
        <v/>
      </c>
    </row>
    <row r="18">
      <c r="C18" s="4" t="inlineStr">
        <is>
          <t>보유 종목 수(현금·선물 제외)</t>
        </is>
      </c>
      <c r="E18" s="64">
        <f>SUMPRODUCT(($H$5:$H$166&lt;&gt;"")*($M$5:$M$166&lt;&gt;"현금·선물"))</f>
        <v/>
      </c>
      <c r="H18" s="6" t="inlineStr">
        <is>
          <t>VZ</t>
        </is>
      </c>
      <c r="I18" s="61" t="n">
        <v>0.03482887</v>
      </c>
      <c r="J18" s="6" t="inlineStr">
        <is>
          <t>VERIZON COMMUNICATIONS INC</t>
        </is>
      </c>
      <c r="K18" s="6" t="inlineStr">
        <is>
          <t>Communication Services</t>
        </is>
      </c>
      <c r="L18" s="6" t="inlineStr">
        <is>
          <t>버라이즌</t>
        </is>
      </c>
      <c r="M18" s="7">
        <f>IF(H18="","",IFERROR(VLOOKUP(K18,$P$5:$Q$15,2,FALSE),"현금·선물"))</f>
        <v/>
      </c>
    </row>
    <row r="19">
      <c r="H19" s="6" t="inlineStr">
        <is>
          <t>BMY</t>
        </is>
      </c>
      <c r="I19" s="61" t="n">
        <v>0.03037695</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0.02999405</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0.02846511</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0.02725198</v>
      </c>
      <c r="J22" s="6" t="inlineStr">
        <is>
          <t>LOCKHEED MARTIN</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EOG</t>
        </is>
      </c>
      <c r="I23" s="61" t="n">
        <v>0.02014859</v>
      </c>
      <c r="J23" s="6" t="inlineStr">
        <is>
          <t>EOG RESOURCES</t>
        </is>
      </c>
      <c r="K23" s="6" t="inlineStr">
        <is>
          <t>Energy</t>
        </is>
      </c>
      <c r="L23" s="6" t="inlineStr">
        <is>
          <t>EOG 리소시스</t>
        </is>
      </c>
      <c r="M23" s="7">
        <f>IF(H23="","",IFERROR(VLOOKUP(K23,$P$5:$Q$15,2,FALSE),"현금·선물"))</f>
        <v/>
      </c>
    </row>
    <row r="24">
      <c r="C24" s="12" t="inlineStr">
        <is>
          <t>에너지</t>
        </is>
      </c>
      <c r="E24" s="60">
        <f>SUMIFS($I$5:$I$166,$M$5:$M$166,C24)</f>
        <v/>
      </c>
      <c r="H24" s="6" t="inlineStr">
        <is>
          <t>BX</t>
        </is>
      </c>
      <c r="I24" s="61" t="n">
        <v>0.02001077</v>
      </c>
      <c r="J24" s="6" t="inlineStr">
        <is>
          <t>BLACKSTONE</t>
        </is>
      </c>
      <c r="K24" s="6" t="inlineStr">
        <is>
          <t>Financials</t>
        </is>
      </c>
      <c r="L24" s="6" t="inlineStr">
        <is>
          <t>블랙스톤</t>
        </is>
      </c>
      <c r="M24" s="7">
        <f>IF(H24="","",IFERROR(VLOOKUP(K24,$P$5:$Q$15,2,FALSE),"현금·선물"))</f>
        <v/>
      </c>
    </row>
    <row r="25">
      <c r="C25" s="12" t="inlineStr">
        <is>
          <t>정보기술</t>
        </is>
      </c>
      <c r="E25" s="60">
        <f>SUMIFS($I$5:$I$166,$M$5:$M$166,C25)</f>
        <v/>
      </c>
      <c r="H25" s="6" t="inlineStr">
        <is>
          <t>CMCSA</t>
        </is>
      </c>
      <c r="I25" s="61" t="n">
        <v>0.01901324</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0.01845224</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0.01815364</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0.01683904</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0.0146548</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0.01428201</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0.01334698</v>
      </c>
      <c r="J31" s="6" t="inlineStr">
        <is>
          <t>DEVON ENERGY</t>
        </is>
      </c>
      <c r="K31" s="6" t="inlineStr">
        <is>
          <t>Energy</t>
        </is>
      </c>
      <c r="L31" s="6" t="inlineStr"/>
      <c r="M31" s="7">
        <f>IF(H31="","",IFERROR(VLOOKUP(K31,$P$5:$Q$15,2,FALSE),"현금·선물"))</f>
        <v/>
      </c>
    </row>
    <row r="32">
      <c r="H32" s="6" t="inlineStr">
        <is>
          <t>FITB</t>
        </is>
      </c>
      <c r="I32" s="61" t="n">
        <v>0.01165263</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0.01134031</v>
      </c>
      <c r="J33" s="6" t="inlineStr">
        <is>
          <t>FORD MOTOR</t>
        </is>
      </c>
      <c r="K33" s="6" t="inlineStr">
        <is>
          <t>Consumer Discretionary</t>
        </is>
      </c>
      <c r="L33" s="6" t="inlineStr"/>
      <c r="M33" s="7">
        <f>IF(H33="","",IFERROR(VLOOKUP(K33,$P$5:$Q$15,2,FALSE),"현금·선물"))</f>
        <v/>
      </c>
    </row>
    <row r="34">
      <c r="H34" s="6" t="inlineStr">
        <is>
          <t>ADM</t>
        </is>
      </c>
      <c r="I34" s="61" t="n">
        <v>0.009305909999999999</v>
      </c>
      <c r="J34" s="6" t="inlineStr">
        <is>
          <t>ARCHER DANIELS MIDLAND</t>
        </is>
      </c>
      <c r="K34" s="6" t="inlineStr">
        <is>
          <t>Consumer Staples</t>
        </is>
      </c>
      <c r="L34" s="6" t="inlineStr"/>
      <c r="M34" s="7">
        <f>IF(H34="","",IFERROR(VLOOKUP(K34,$P$5:$Q$15,2,FALSE),"현금·선물"))</f>
        <v/>
      </c>
    </row>
    <row r="35">
      <c r="H35" s="6" t="inlineStr">
        <is>
          <t>PAYX</t>
        </is>
      </c>
      <c r="I35" s="61" t="n">
        <v>0.008761970000000001</v>
      </c>
      <c r="J35" s="6" t="inlineStr">
        <is>
          <t>PAYCHEX</t>
        </is>
      </c>
      <c r="K35" s="6" t="inlineStr">
        <is>
          <t>Industrials</t>
        </is>
      </c>
      <c r="L35" s="6" t="inlineStr"/>
      <c r="M35" s="7">
        <f>IF(H35="","",IFERROR(VLOOKUP(K35,$P$5:$Q$15,2,FALSE),"현금·선물"))</f>
        <v/>
      </c>
    </row>
    <row r="36">
      <c r="H36" s="6" t="inlineStr">
        <is>
          <t>KMB</t>
        </is>
      </c>
      <c r="I36" s="61" t="n">
        <v>0.00862889</v>
      </c>
      <c r="J36" s="6" t="inlineStr">
        <is>
          <t>KIMBERLY CLARK</t>
        </is>
      </c>
      <c r="K36" s="6" t="inlineStr">
        <is>
          <t>Consumer Staples</t>
        </is>
      </c>
      <c r="L36" s="6" t="inlineStr"/>
      <c r="M36" s="7">
        <f>IF(H36="","",IFERROR(VLOOKUP(K36,$P$5:$Q$15,2,FALSE),"현금·선물"))</f>
        <v/>
      </c>
    </row>
    <row r="37">
      <c r="H37" s="6" t="inlineStr">
        <is>
          <t>CINF</t>
        </is>
      </c>
      <c r="I37" s="61" t="n">
        <v>0.00648346</v>
      </c>
      <c r="J37" s="6" t="inlineStr">
        <is>
          <t>CINCINNATI FINANCIAL</t>
        </is>
      </c>
      <c r="K37" s="6" t="inlineStr">
        <is>
          <t>Financials</t>
        </is>
      </c>
      <c r="L37" s="6" t="inlineStr"/>
      <c r="M37" s="7">
        <f>IF(H37="","",IFERROR(VLOOKUP(K37,$P$5:$Q$15,2,FALSE),"현금·선물"))</f>
        <v/>
      </c>
    </row>
    <row r="38">
      <c r="H38" s="6" t="inlineStr">
        <is>
          <t>ARES</t>
        </is>
      </c>
      <c r="I38" s="61" t="n">
        <v>0.00637586</v>
      </c>
      <c r="J38" s="6" t="inlineStr">
        <is>
          <t>ARES MANAGEMENT CLASS A</t>
        </is>
      </c>
      <c r="K38" s="6" t="inlineStr">
        <is>
          <t>Financials</t>
        </is>
      </c>
      <c r="L38" s="6" t="inlineStr"/>
      <c r="M38" s="7">
        <f>IF(H38="","",IFERROR(VLOOKUP(K38,$P$5:$Q$15,2,FALSE),"현금·선물"))</f>
        <v/>
      </c>
    </row>
    <row r="39">
      <c r="H39" s="6" t="inlineStr">
        <is>
          <t>HSY</t>
        </is>
      </c>
      <c r="I39" s="61" t="n">
        <v>0.005973549999999999</v>
      </c>
      <c r="J39" s="6" t="inlineStr">
        <is>
          <t>HERSHEY FOODS</t>
        </is>
      </c>
      <c r="K39" s="6" t="inlineStr">
        <is>
          <t>Consumer Staples</t>
        </is>
      </c>
      <c r="L39" s="6" t="inlineStr"/>
      <c r="M39" s="7">
        <f>IF(H39="","",IFERROR(VLOOKUP(K39,$P$5:$Q$15,2,FALSE),"현금·선물"))</f>
        <v/>
      </c>
    </row>
    <row r="40">
      <c r="H40" s="6" t="inlineStr">
        <is>
          <t>DRI</t>
        </is>
      </c>
      <c r="I40" s="61" t="n">
        <v>0.00592575</v>
      </c>
      <c r="J40" s="6" t="inlineStr">
        <is>
          <t>DARDEN RESTAURANTS INC</t>
        </is>
      </c>
      <c r="K40" s="6" t="inlineStr">
        <is>
          <t>Consumer Discretionary</t>
        </is>
      </c>
      <c r="L40" s="6" t="inlineStr"/>
      <c r="M40" s="7">
        <f>IF(H40="","",IFERROR(VLOOKUP(K40,$P$5:$Q$15,2,FALSE),"현금·선물"))</f>
        <v/>
      </c>
    </row>
    <row r="41">
      <c r="H41" s="6" t="inlineStr">
        <is>
          <t>RF</t>
        </is>
      </c>
      <c r="I41" s="61" t="n">
        <v>0.00581422</v>
      </c>
      <c r="J41" s="6" t="inlineStr">
        <is>
          <t>REGIONS FINANCIAL</t>
        </is>
      </c>
      <c r="K41" s="6" t="inlineStr">
        <is>
          <t>Financials</t>
        </is>
      </c>
      <c r="L41" s="6" t="inlineStr"/>
      <c r="M41" s="7">
        <f>IF(H41="","",IFERROR(VLOOKUP(K41,$P$5:$Q$15,2,FALSE),"현금·선물"))</f>
        <v/>
      </c>
    </row>
    <row r="42">
      <c r="H42" s="6" t="inlineStr">
        <is>
          <t>TROW</t>
        </is>
      </c>
      <c r="I42" s="61" t="n">
        <v>0.00536073</v>
      </c>
      <c r="J42" s="6" t="inlineStr">
        <is>
          <t>T ROWE PRICE GROUP</t>
        </is>
      </c>
      <c r="K42" s="6" t="inlineStr">
        <is>
          <t>Financials</t>
        </is>
      </c>
      <c r="L42" s="6" t="inlineStr"/>
      <c r="M42" s="7">
        <f>IF(H42="","",IFERROR(VLOOKUP(K42,$P$5:$Q$15,2,FALSE),"현금·선물"))</f>
        <v/>
      </c>
    </row>
    <row r="43">
      <c r="H43" s="6" t="inlineStr">
        <is>
          <t>PFG</t>
        </is>
      </c>
      <c r="I43" s="61" t="n">
        <v>0.005140519999999999</v>
      </c>
      <c r="J43" s="6" t="inlineStr">
        <is>
          <t>PRINCIPAL FINANCIAL GROUP INC</t>
        </is>
      </c>
      <c r="K43" s="6" t="inlineStr">
        <is>
          <t>Financials</t>
        </is>
      </c>
      <c r="L43" s="6" t="inlineStr"/>
      <c r="M43" s="7">
        <f>IF(H43="","",IFERROR(VLOOKUP(K43,$P$5:$Q$15,2,FALSE),"현금·선물"))</f>
        <v/>
      </c>
    </row>
    <row r="44">
      <c r="H44" s="6" t="inlineStr">
        <is>
          <t>BR</t>
        </is>
      </c>
      <c r="I44" s="61" t="n">
        <v>0.00494746</v>
      </c>
      <c r="J44" s="6" t="inlineStr">
        <is>
          <t>BROADRIDGE FINANCIAL SOLUTIONS INC</t>
        </is>
      </c>
      <c r="K44" s="6" t="inlineStr">
        <is>
          <t>Industrials</t>
        </is>
      </c>
      <c r="L44" s="6" t="inlineStr"/>
      <c r="M44" s="7">
        <f>IF(H44="","",IFERROR(VLOOKUP(K44,$P$5:$Q$15,2,FALSE),"현금·선물"))</f>
        <v/>
      </c>
    </row>
    <row r="45">
      <c r="H45" s="6" t="inlineStr">
        <is>
          <t>DINO</t>
        </is>
      </c>
      <c r="I45" s="61" t="n">
        <v>0.0047234</v>
      </c>
      <c r="J45" s="6" t="inlineStr">
        <is>
          <t>HF SINCLAIR</t>
        </is>
      </c>
      <c r="K45" s="6" t="inlineStr">
        <is>
          <t>Energy</t>
        </is>
      </c>
      <c r="L45" s="6" t="inlineStr"/>
      <c r="M45" s="7">
        <f>IF(H45="","",IFERROR(VLOOKUP(K45,$P$5:$Q$15,2,FALSE),"현금·선물"))</f>
        <v/>
      </c>
    </row>
    <row r="46">
      <c r="H46" s="6" t="inlineStr">
        <is>
          <t>SNA</t>
        </is>
      </c>
      <c r="I46" s="61" t="n">
        <v>0.004642879999999999</v>
      </c>
      <c r="J46" s="6" t="inlineStr">
        <is>
          <t>SNAP ON INC</t>
        </is>
      </c>
      <c r="K46" s="6" t="inlineStr">
        <is>
          <t>Industrials</t>
        </is>
      </c>
      <c r="L46" s="6" t="inlineStr"/>
      <c r="M46" s="7">
        <f>IF(H46="","",IFERROR(VLOOKUP(K46,$P$5:$Q$15,2,FALSE),"현금·선물"))</f>
        <v/>
      </c>
    </row>
    <row r="47">
      <c r="H47" s="6" t="inlineStr">
        <is>
          <t>BBY</t>
        </is>
      </c>
      <c r="I47" s="61" t="n">
        <v>0.00453454</v>
      </c>
      <c r="J47" s="6" t="inlineStr">
        <is>
          <t>BEST BUY</t>
        </is>
      </c>
      <c r="K47" s="6" t="inlineStr">
        <is>
          <t>Consumer Discretionary</t>
        </is>
      </c>
      <c r="L47" s="6" t="inlineStr"/>
      <c r="M47" s="7">
        <f>IF(H47="","",IFERROR(VLOOKUP(K47,$P$5:$Q$15,2,FALSE),"현금·선물"))</f>
        <v/>
      </c>
    </row>
    <row r="48">
      <c r="H48" s="6" t="inlineStr">
        <is>
          <t>EWBC</t>
        </is>
      </c>
      <c r="I48" s="61" t="n">
        <v>0.00438045</v>
      </c>
      <c r="J48" s="6" t="inlineStr">
        <is>
          <t>EAST WEST BANCORP</t>
        </is>
      </c>
      <c r="K48" s="6" t="inlineStr">
        <is>
          <t>Financials</t>
        </is>
      </c>
      <c r="L48" s="6" t="inlineStr"/>
      <c r="M48" s="7">
        <f>IF(H48="","",IFERROR(VLOOKUP(K48,$P$5:$Q$15,2,FALSE),"현금·선물"))</f>
        <v/>
      </c>
    </row>
    <row r="49">
      <c r="H49" s="6" t="inlineStr">
        <is>
          <t>GIS</t>
        </is>
      </c>
      <c r="I49" s="61" t="n">
        <v>0.00423748</v>
      </c>
      <c r="J49" s="6" t="inlineStr">
        <is>
          <t>GENERAL MILLS INC</t>
        </is>
      </c>
      <c r="K49" s="6" t="inlineStr">
        <is>
          <t>Consumer Staples</t>
        </is>
      </c>
      <c r="L49" s="6" t="inlineStr"/>
      <c r="M49" s="7">
        <f>IF(H49="","",IFERROR(VLOOKUP(K49,$P$5:$Q$15,2,FALSE),"현금·선물"))</f>
        <v/>
      </c>
    </row>
    <row r="50">
      <c r="H50" s="6" t="inlineStr">
        <is>
          <t>APA</t>
        </is>
      </c>
      <c r="I50" s="61" t="n">
        <v>0.00423056</v>
      </c>
      <c r="J50" s="6" t="inlineStr">
        <is>
          <t>APA</t>
        </is>
      </c>
      <c r="K50" s="6" t="inlineStr">
        <is>
          <t>Energy</t>
        </is>
      </c>
      <c r="L50" s="6" t="inlineStr"/>
      <c r="M50" s="7">
        <f>IF(H50="","",IFERROR(VLOOKUP(K50,$P$5:$Q$15,2,FALSE),"현금·선물"))</f>
        <v/>
      </c>
    </row>
    <row r="51">
      <c r="H51" s="6" t="inlineStr">
        <is>
          <t>WSO</t>
        </is>
      </c>
      <c r="I51" s="61" t="n">
        <v>0.00264098</v>
      </c>
      <c r="J51" s="6" t="inlineStr">
        <is>
          <t>WATSCO</t>
        </is>
      </c>
      <c r="K51" s="6" t="inlineStr">
        <is>
          <t>Industrials</t>
        </is>
      </c>
      <c r="L51" s="6" t="inlineStr"/>
      <c r="M51" s="7">
        <f>IF(H51="","",IFERROR(VLOOKUP(K51,$P$5:$Q$15,2,FALSE),"현금·선물"))</f>
        <v/>
      </c>
    </row>
    <row r="52">
      <c r="H52" s="6" t="inlineStr">
        <is>
          <t>FNF</t>
        </is>
      </c>
      <c r="I52" s="61" t="n">
        <v>0.00251603</v>
      </c>
      <c r="J52" s="6" t="inlineStr">
        <is>
          <t>FIDELITY NATIONAL FINANCIAL INC</t>
        </is>
      </c>
      <c r="K52" s="6" t="inlineStr">
        <is>
          <t>Financials</t>
        </is>
      </c>
      <c r="L52" s="6" t="inlineStr"/>
      <c r="M52" s="7">
        <f>IF(H52="","",IFERROR(VLOOKUP(K52,$P$5:$Q$15,2,FALSE),"현금·선물"))</f>
        <v/>
      </c>
    </row>
    <row r="53">
      <c r="H53" s="6" t="inlineStr">
        <is>
          <t>AFG</t>
        </is>
      </c>
      <c r="I53" s="61" t="n">
        <v>0.00250354</v>
      </c>
      <c r="J53" s="6" t="inlineStr">
        <is>
          <t>AMERICAN FINANCIAL GROUP</t>
        </is>
      </c>
      <c r="K53" s="6" t="inlineStr">
        <is>
          <t>Financials</t>
        </is>
      </c>
      <c r="L53" s="6" t="inlineStr"/>
      <c r="M53" s="7">
        <f>IF(H53="","",IFERROR(VLOOKUP(K53,$P$5:$Q$15,2,FALSE),"현금·선물"))</f>
        <v/>
      </c>
    </row>
    <row r="54">
      <c r="H54" s="6" t="inlineStr">
        <is>
          <t>BAH</t>
        </is>
      </c>
      <c r="I54" s="61" t="n">
        <v>0.00219483</v>
      </c>
      <c r="J54" s="6" t="inlineStr">
        <is>
          <t>BOOZ ALLEN HAMILTON HOLDING CLASS</t>
        </is>
      </c>
      <c r="K54" s="6" t="inlineStr">
        <is>
          <t>Industrials</t>
        </is>
      </c>
      <c r="L54" s="6" t="inlineStr"/>
      <c r="M54" s="7">
        <f>IF(H54="","",IFERROR(VLOOKUP(K54,$P$5:$Q$15,2,FALSE),"현금·선물"))</f>
        <v/>
      </c>
    </row>
    <row r="55">
      <c r="H55" s="6" t="inlineStr">
        <is>
          <t>ORI</t>
        </is>
      </c>
      <c r="I55" s="61" t="n">
        <v>0.00216782</v>
      </c>
      <c r="J55" s="6" t="inlineStr">
        <is>
          <t>OLD REPUBLIC INTERNATIONAL</t>
        </is>
      </c>
      <c r="K55" s="6" t="inlineStr">
        <is>
          <t>Financials</t>
        </is>
      </c>
      <c r="L55" s="6" t="inlineStr"/>
      <c r="M55" s="7">
        <f>IF(H55="","",IFERROR(VLOOKUP(K55,$P$5:$Q$15,2,FALSE),"현금·선물"))</f>
        <v/>
      </c>
    </row>
    <row r="56">
      <c r="H56" s="6" t="inlineStr">
        <is>
          <t>COLB</t>
        </is>
      </c>
      <c r="I56" s="61" t="n">
        <v>0.00200789</v>
      </c>
      <c r="J56" s="6" t="inlineStr">
        <is>
          <t>COLUMBIA BANKING SYSTEM INC</t>
        </is>
      </c>
      <c r="K56" s="6" t="inlineStr">
        <is>
          <t>Financials</t>
        </is>
      </c>
      <c r="L56" s="6" t="inlineStr"/>
      <c r="M56" s="7">
        <f>IF(H56="","",IFERROR(VLOOKUP(K56,$P$5:$Q$15,2,FALSE),"현금·선물"))</f>
        <v/>
      </c>
    </row>
    <row r="57">
      <c r="H57" s="6" t="inlineStr">
        <is>
          <t>ALV</t>
        </is>
      </c>
      <c r="I57" s="61" t="n">
        <v>0.00187926</v>
      </c>
      <c r="J57" s="6" t="inlineStr">
        <is>
          <t>AUTOLIV</t>
        </is>
      </c>
      <c r="K57" s="6" t="inlineStr">
        <is>
          <t>Consumer Discretionary</t>
        </is>
      </c>
      <c r="L57" s="6" t="inlineStr"/>
      <c r="M57" s="7">
        <f>IF(H57="","",IFERROR(VLOOKUP(K57,$P$5:$Q$15,2,FALSE),"현금·선물"))</f>
        <v/>
      </c>
    </row>
    <row r="58">
      <c r="H58" s="6" t="inlineStr">
        <is>
          <t>ERIE</t>
        </is>
      </c>
      <c r="I58" s="61" t="n">
        <v>0.00153483</v>
      </c>
      <c r="J58" s="6" t="inlineStr">
        <is>
          <t>ERIE INDEMNITY CLASS A</t>
        </is>
      </c>
      <c r="K58" s="6" t="inlineStr">
        <is>
          <t>Financials</t>
        </is>
      </c>
      <c r="L58" s="6" t="inlineStr"/>
      <c r="M58" s="7">
        <f>IF(H58="","",IFERROR(VLOOKUP(K58,$P$5:$Q$15,2,FALSE),"현금·선물"))</f>
        <v/>
      </c>
    </row>
    <row r="59">
      <c r="H59" s="6" t="inlineStr">
        <is>
          <t>M</t>
        </is>
      </c>
      <c r="I59" s="61" t="n">
        <v>0.00149806</v>
      </c>
      <c r="J59" s="6" t="inlineStr">
        <is>
          <t>MACYS</t>
        </is>
      </c>
      <c r="K59" s="6" t="inlineStr">
        <is>
          <t>Consumer Discretionary</t>
        </is>
      </c>
      <c r="L59" s="6" t="inlineStr"/>
      <c r="M59" s="7">
        <f>IF(H59="","",IFERROR(VLOOKUP(K59,$P$5:$Q$15,2,FALSE),"현금·선물"))</f>
        <v/>
      </c>
    </row>
    <row r="60">
      <c r="H60" s="6" t="inlineStr">
        <is>
          <t>MSM</t>
        </is>
      </c>
      <c r="I60" s="61" t="n">
        <v>0.00148054</v>
      </c>
      <c r="J60" s="6" t="inlineStr">
        <is>
          <t>MSC INDUSTRIAL CLASS A</t>
        </is>
      </c>
      <c r="K60" s="6" t="inlineStr">
        <is>
          <t>Industrials</t>
        </is>
      </c>
      <c r="L60" s="6" t="inlineStr"/>
      <c r="M60" s="7">
        <f>IF(H60="","",IFERROR(VLOOKUP(K60,$P$5:$Q$15,2,FALSE),"현금·선물"))</f>
        <v/>
      </c>
    </row>
    <row r="61">
      <c r="H61" s="6" t="inlineStr">
        <is>
          <t>MUR</t>
        </is>
      </c>
      <c r="I61" s="61" t="n">
        <v>0.0014101</v>
      </c>
      <c r="J61" s="6" t="inlineStr">
        <is>
          <t>MURPHY OIL</t>
        </is>
      </c>
      <c r="K61" s="6" t="inlineStr">
        <is>
          <t>Energy</t>
        </is>
      </c>
      <c r="L61" s="6" t="inlineStr"/>
      <c r="M61" s="7">
        <f>IF(H61="","",IFERROR(VLOOKUP(K61,$P$5:$Q$15,2,FALSE),"현금·선물"))</f>
        <v/>
      </c>
    </row>
    <row r="62">
      <c r="H62" s="6" t="inlineStr">
        <is>
          <t>MTN</t>
        </is>
      </c>
      <c r="I62" s="61" t="n">
        <v>0.00127473</v>
      </c>
      <c r="J62" s="6" t="inlineStr">
        <is>
          <t>VAIL RESORTS</t>
        </is>
      </c>
      <c r="K62" s="6" t="inlineStr">
        <is>
          <t>Consumer Discretionary</t>
        </is>
      </c>
      <c r="L62" s="6" t="inlineStr"/>
      <c r="M62" s="7">
        <f>IF(H62="","",IFERROR(VLOOKUP(K62,$P$5:$Q$15,2,FALSE),"현금·선물"))</f>
        <v/>
      </c>
    </row>
    <row r="63">
      <c r="H63" s="6" t="inlineStr">
        <is>
          <t>OZK</t>
        </is>
      </c>
      <c r="I63" s="61" t="n">
        <v>0.00118818</v>
      </c>
      <c r="J63" s="6" t="inlineStr">
        <is>
          <t>BANK OZK</t>
        </is>
      </c>
      <c r="K63" s="6" t="inlineStr">
        <is>
          <t>Financials</t>
        </is>
      </c>
      <c r="L63" s="6" t="inlineStr"/>
      <c r="M63" s="7">
        <f>IF(H63="","",IFERROR(VLOOKUP(K63,$P$5:$Q$15,2,FALSE),"현금·선물"))</f>
        <v/>
      </c>
    </row>
    <row r="64">
      <c r="H64" s="6" t="inlineStr">
        <is>
          <t>NXST</t>
        </is>
      </c>
      <c r="I64" s="61" t="n">
        <v>0.00116287</v>
      </c>
      <c r="J64" s="6" t="inlineStr">
        <is>
          <t>NEXSTAR MEDIA GROUP INC</t>
        </is>
      </c>
      <c r="K64" s="6" t="inlineStr">
        <is>
          <t>Communication Services</t>
        </is>
      </c>
      <c r="L64" s="6" t="inlineStr"/>
      <c r="M64" s="7">
        <f>IF(H64="","",IFERROR(VLOOKUP(K64,$P$5:$Q$15,2,FALSE),"현금·선물"))</f>
        <v/>
      </c>
    </row>
    <row r="65">
      <c r="H65" s="6" t="inlineStr">
        <is>
          <t>FHI</t>
        </is>
      </c>
      <c r="I65" s="61" t="n">
        <v>0.0009725399999999999</v>
      </c>
      <c r="J65" s="6" t="inlineStr">
        <is>
          <t>FEDERATED HERMES INC CLASS B</t>
        </is>
      </c>
      <c r="K65" s="6" t="inlineStr">
        <is>
          <t>Financials</t>
        </is>
      </c>
      <c r="L65" s="6" t="inlineStr"/>
      <c r="M65" s="7">
        <f>IF(H65="","",IFERROR(VLOOKUP(K65,$P$5:$Q$15,2,FALSE),"현금·선물"))</f>
        <v/>
      </c>
    </row>
    <row r="66">
      <c r="H66" s="6" t="inlineStr">
        <is>
          <t>MC</t>
        </is>
      </c>
      <c r="I66" s="61" t="n">
        <v>0.00095373</v>
      </c>
      <c r="J66" s="6" t="inlineStr">
        <is>
          <t>MOELIS CLASS A</t>
        </is>
      </c>
      <c r="K66" s="6" t="inlineStr">
        <is>
          <t>Financials</t>
        </is>
      </c>
      <c r="L66" s="6" t="inlineStr"/>
      <c r="M66" s="7">
        <f>IF(H66="","",IFERROR(VLOOKUP(K66,$P$5:$Q$15,2,FALSE),"현금·선물"))</f>
        <v/>
      </c>
    </row>
    <row r="67">
      <c r="H67" s="6" t="inlineStr">
        <is>
          <t>CWEN</t>
        </is>
      </c>
      <c r="I67" s="61" t="n">
        <v>0.00092919</v>
      </c>
      <c r="J67" s="6" t="inlineStr">
        <is>
          <t>CLEARWAY ENERGY INC CLASS C</t>
        </is>
      </c>
      <c r="K67" s="6" t="inlineStr">
        <is>
          <t>Utilities</t>
        </is>
      </c>
      <c r="L67" s="6" t="inlineStr"/>
      <c r="M67" s="7">
        <f>IF(H67="","",IFERROR(VLOOKUP(K67,$P$5:$Q$15,2,FALSE),"현금·선물"))</f>
        <v/>
      </c>
    </row>
    <row r="68">
      <c r="H68" s="6" t="inlineStr">
        <is>
          <t>PAG</t>
        </is>
      </c>
      <c r="I68" s="61" t="n">
        <v>0.00091621</v>
      </c>
      <c r="J68" s="6" t="inlineStr">
        <is>
          <t>PENSKE AUTOMOTIVE GROUP VOTING INC</t>
        </is>
      </c>
      <c r="K68" s="6" t="inlineStr">
        <is>
          <t>Consumer Discretionary</t>
        </is>
      </c>
      <c r="L68" s="6" t="inlineStr"/>
      <c r="M68" s="7">
        <f>IF(H68="","",IFERROR(VLOOKUP(K68,$P$5:$Q$15,2,FALSE),"현금·선물"))</f>
        <v/>
      </c>
    </row>
    <row r="69">
      <c r="H69" s="6" t="inlineStr">
        <is>
          <t>KFY</t>
        </is>
      </c>
      <c r="I69" s="61" t="n">
        <v>0.0009149500000000001</v>
      </c>
      <c r="J69" s="6" t="inlineStr">
        <is>
          <t>KORN FERRY</t>
        </is>
      </c>
      <c r="K69" s="6" t="inlineStr">
        <is>
          <t>Industrials</t>
        </is>
      </c>
      <c r="L69" s="6" t="inlineStr"/>
      <c r="M69" s="7">
        <f>IF(H69="","",IFERROR(VLOOKUP(K69,$P$5:$Q$15,2,FALSE),"현금·선물"))</f>
        <v/>
      </c>
    </row>
    <row r="70">
      <c r="H70" s="6" t="inlineStr">
        <is>
          <t>CVBF</t>
        </is>
      </c>
      <c r="I70" s="61" t="n">
        <v>0.00090226</v>
      </c>
      <c r="J70" s="6" t="inlineStr">
        <is>
          <t>CVB FINANCIAL CORP</t>
        </is>
      </c>
      <c r="K70" s="6" t="inlineStr">
        <is>
          <t>Financials</t>
        </is>
      </c>
      <c r="L70" s="6" t="inlineStr"/>
      <c r="M70" s="7">
        <f>IF(H70="","",IFERROR(VLOOKUP(K70,$P$5:$Q$15,2,FALSE),"현금·선물"))</f>
        <v/>
      </c>
    </row>
    <row r="71">
      <c r="H71" s="6" t="inlineStr">
        <is>
          <t>RHI</t>
        </is>
      </c>
      <c r="I71" s="61" t="n">
        <v>0.00084555</v>
      </c>
      <c r="J71" s="6" t="inlineStr">
        <is>
          <t>ROBERT HALF INC</t>
        </is>
      </c>
      <c r="K71" s="6" t="inlineStr">
        <is>
          <t>Industrials</t>
        </is>
      </c>
      <c r="L71" s="6" t="inlineStr"/>
      <c r="M71" s="7">
        <f>IF(H71="","",IFERROR(VLOOKUP(K71,$P$5:$Q$15,2,FALSE),"현금·선물"))</f>
        <v/>
      </c>
    </row>
    <row r="72">
      <c r="H72" s="6" t="inlineStr">
        <is>
          <t>APAM</t>
        </is>
      </c>
      <c r="I72" s="61" t="n">
        <v>0.00056972</v>
      </c>
      <c r="J72" s="6" t="inlineStr">
        <is>
          <t>ARTISAN PARTNERS ASSET MANAGEMENT</t>
        </is>
      </c>
      <c r="K72" s="6" t="inlineStr">
        <is>
          <t>Financials</t>
        </is>
      </c>
      <c r="L72" s="6" t="inlineStr"/>
      <c r="M72" s="7">
        <f>IF(H72="","",IFERROR(VLOOKUP(K72,$P$5:$Q$15,2,FALSE),"현금·선물"))</f>
        <v/>
      </c>
    </row>
    <row r="73">
      <c r="H73" s="6" t="inlineStr">
        <is>
          <t>BANR</t>
        </is>
      </c>
      <c r="I73" s="61" t="n">
        <v>0.0005598199999999999</v>
      </c>
      <c r="J73" s="6" t="inlineStr">
        <is>
          <t>BANNER CORP</t>
        </is>
      </c>
      <c r="K73" s="6" t="inlineStr">
        <is>
          <t>Financials</t>
        </is>
      </c>
      <c r="L73" s="6" t="inlineStr"/>
      <c r="M73" s="7">
        <f>IF(H73="","",IFERROR(VLOOKUP(K73,$P$5:$Q$15,2,FALSE),"현금·선물"))</f>
        <v/>
      </c>
    </row>
    <row r="74">
      <c r="H74" s="6" t="inlineStr">
        <is>
          <t>OFG</t>
        </is>
      </c>
      <c r="I74" s="61" t="n">
        <v>0.0005196900000000001</v>
      </c>
      <c r="J74" s="6" t="inlineStr">
        <is>
          <t>OFG BANCORP</t>
        </is>
      </c>
      <c r="K74" s="6" t="inlineStr">
        <is>
          <t>Financials</t>
        </is>
      </c>
      <c r="L74" s="6" t="inlineStr"/>
      <c r="M74" s="7">
        <f>IF(H74="","",IFERROR(VLOOKUP(K74,$P$5:$Q$15,2,FALSE),"현금·선물"))</f>
        <v/>
      </c>
    </row>
    <row r="75">
      <c r="H75" s="6" t="inlineStr">
        <is>
          <t>IPAR</t>
        </is>
      </c>
      <c r="I75" s="61" t="n">
        <v>0.00050302</v>
      </c>
      <c r="J75" s="6" t="inlineStr">
        <is>
          <t>INTERPARFUMS INC</t>
        </is>
      </c>
      <c r="K75" s="6" t="inlineStr">
        <is>
          <t>Consumer Staples</t>
        </is>
      </c>
      <c r="L75" s="6" t="inlineStr"/>
      <c r="M75" s="7">
        <f>IF(H75="","",IFERROR(VLOOKUP(K75,$P$5:$Q$15,2,FALSE),"현금·선물"))</f>
        <v/>
      </c>
    </row>
    <row r="76">
      <c r="H76" s="6" t="inlineStr">
        <is>
          <t>MZTI</t>
        </is>
      </c>
      <c r="I76" s="61" t="n">
        <v>0.00049936</v>
      </c>
      <c r="J76" s="6" t="inlineStr">
        <is>
          <t>MARZETTI</t>
        </is>
      </c>
      <c r="K76" s="6" t="inlineStr">
        <is>
          <t>Consumer Staples</t>
        </is>
      </c>
      <c r="L76" s="6" t="inlineStr"/>
      <c r="M76" s="7">
        <f>IF(H76="","",IFERROR(VLOOKUP(K76,$P$5:$Q$15,2,FALSE),"현금·선물"))</f>
        <v/>
      </c>
    </row>
    <row r="77">
      <c r="H77" s="6" t="inlineStr">
        <is>
          <t>CNS</t>
        </is>
      </c>
      <c r="I77" s="61" t="n">
        <v>0.00048373</v>
      </c>
      <c r="J77" s="6" t="inlineStr">
        <is>
          <t>COHEN &amp; STEERS INC</t>
        </is>
      </c>
      <c r="K77" s="6" t="inlineStr">
        <is>
          <t>Financials</t>
        </is>
      </c>
      <c r="L77" s="6" t="inlineStr"/>
      <c r="M77" s="7">
        <f>IF(H77="","",IFERROR(VLOOKUP(K77,$P$5:$Q$15,2,FALSE),"현금·선물"))</f>
        <v/>
      </c>
    </row>
    <row r="78">
      <c r="H78" s="6" t="inlineStr">
        <is>
          <t>CHCO</t>
        </is>
      </c>
      <c r="I78" s="61" t="n">
        <v>0.0004815</v>
      </c>
      <c r="J78" s="6" t="inlineStr">
        <is>
          <t>CITY HOLDING</t>
        </is>
      </c>
      <c r="K78" s="6" t="inlineStr">
        <is>
          <t>Financials</t>
        </is>
      </c>
      <c r="L78" s="6" t="inlineStr"/>
      <c r="M78" s="7">
        <f>IF(H78="","",IFERROR(VLOOKUP(K78,$P$5:$Q$15,2,FALSE),"현금·선물"))</f>
        <v/>
      </c>
    </row>
    <row r="79">
      <c r="H79" s="6" t="inlineStr">
        <is>
          <t>WU</t>
        </is>
      </c>
      <c r="I79" s="61" t="n">
        <v>0.00047554</v>
      </c>
      <c r="J79" s="6" t="inlineStr">
        <is>
          <t>WESTERN UNION</t>
        </is>
      </c>
      <c r="K79" s="6" t="inlineStr">
        <is>
          <t>Financials</t>
        </is>
      </c>
      <c r="L79" s="6" t="inlineStr"/>
      <c r="M79" s="7">
        <f>IF(H79="","",IFERROR(VLOOKUP(K79,$P$5:$Q$15,2,FALSE),"현금·선물"))</f>
        <v/>
      </c>
    </row>
    <row r="80">
      <c r="H80" s="6" t="inlineStr">
        <is>
          <t>GABC</t>
        </is>
      </c>
      <c r="I80" s="61" t="n">
        <v>0.00045774</v>
      </c>
      <c r="J80" s="6" t="inlineStr">
        <is>
          <t>GERMAN AMERICAN BANCORP INC</t>
        </is>
      </c>
      <c r="K80" s="6" t="inlineStr">
        <is>
          <t>Financials</t>
        </is>
      </c>
      <c r="L80" s="6" t="inlineStr"/>
      <c r="M80" s="7">
        <f>IF(H80="","",IFERROR(VLOOKUP(K80,$P$5:$Q$15,2,FALSE),"현금·선물"))</f>
        <v/>
      </c>
    </row>
    <row r="81">
      <c r="H81" s="6" t="inlineStr">
        <is>
          <t>AGM</t>
        </is>
      </c>
      <c r="I81" s="61" t="n">
        <v>0.00045368</v>
      </c>
      <c r="J81" s="6" t="inlineStr">
        <is>
          <t>FEDERAL AGRICULTURAL MORTGAGE NON</t>
        </is>
      </c>
      <c r="K81" s="6" t="inlineStr">
        <is>
          <t>Financials</t>
        </is>
      </c>
      <c r="L81" s="6" t="inlineStr"/>
      <c r="M81" s="7">
        <f>IF(H81="","",IFERROR(VLOOKUP(K81,$P$5:$Q$15,2,FALSE),"현금·선물"))</f>
        <v/>
      </c>
    </row>
    <row r="82">
      <c r="H82" s="6" t="inlineStr">
        <is>
          <t>NSP</t>
        </is>
      </c>
      <c r="I82" s="61" t="n">
        <v>0.00043713</v>
      </c>
      <c r="J82" s="6" t="inlineStr">
        <is>
          <t>INSPERITY</t>
        </is>
      </c>
      <c r="K82" s="6" t="inlineStr">
        <is>
          <t>Industrials</t>
        </is>
      </c>
      <c r="L82" s="6" t="inlineStr"/>
      <c r="M82" s="7">
        <f>IF(H82="","",IFERROR(VLOOKUP(K82,$P$5:$Q$15,2,FALSE),"현금·선물"))</f>
        <v/>
      </c>
    </row>
    <row r="83">
      <c r="H83" s="6" t="inlineStr">
        <is>
          <t>STBA</t>
        </is>
      </c>
      <c r="I83" s="61" t="n">
        <v>0.00042025</v>
      </c>
      <c r="J83" s="6" t="inlineStr">
        <is>
          <t>S AND T BANCORP INC</t>
        </is>
      </c>
      <c r="K83" s="6" t="inlineStr">
        <is>
          <t>Financials</t>
        </is>
      </c>
      <c r="L83" s="6" t="inlineStr"/>
      <c r="M83" s="7">
        <f>IF(H83="","",IFERROR(VLOOKUP(K83,$P$5:$Q$15,2,FALSE),"현금·선물"))</f>
        <v/>
      </c>
    </row>
    <row r="84">
      <c r="H84" s="6" t="inlineStr">
        <is>
          <t>GVMXX</t>
        </is>
      </c>
      <c r="I84" s="61" t="n">
        <v>0.00041188</v>
      </c>
      <c r="J84" s="6" t="inlineStr">
        <is>
          <t>SSC GOVERNMENT MM GVMXX</t>
        </is>
      </c>
      <c r="K84" s="6" t="inlineStr"/>
      <c r="L84" s="6" t="inlineStr"/>
      <c r="M84" s="7">
        <f>IF(H84="","",IFERROR(VLOOKUP(K84,$P$5:$Q$15,2,FALSE),"현금·선물"))</f>
        <v/>
      </c>
    </row>
    <row r="85">
      <c r="H85" s="6" t="inlineStr">
        <is>
          <t>NBHC</t>
        </is>
      </c>
      <c r="I85" s="61" t="n">
        <v>0.00041158</v>
      </c>
      <c r="J85" s="6" t="inlineStr">
        <is>
          <t>NATIONAL BANK HOLDINGS CORP CLASS</t>
        </is>
      </c>
      <c r="K85" s="6" t="inlineStr">
        <is>
          <t>Financials</t>
        </is>
      </c>
      <c r="L85" s="6" t="inlineStr"/>
      <c r="M85" s="7">
        <f>IF(H85="","",IFERROR(VLOOKUP(K85,$P$5:$Q$15,2,FALSE),"현금·선물"))</f>
        <v/>
      </c>
    </row>
    <row r="86">
      <c r="H86" s="6" t="inlineStr">
        <is>
          <t>SRCE</t>
        </is>
      </c>
      <c r="I86" s="61" t="n">
        <v>0.00037281</v>
      </c>
      <c r="J86" s="6" t="inlineStr">
        <is>
          <t>1ST SOURCE</t>
        </is>
      </c>
      <c r="K86" s="6" t="inlineStr">
        <is>
          <t>Financials</t>
        </is>
      </c>
      <c r="L86" s="6" t="inlineStr"/>
      <c r="M86" s="7">
        <f>IF(H86="","",IFERROR(VLOOKUP(K86,$P$5:$Q$15,2,FALSE),"현금·선물"))</f>
        <v/>
      </c>
    </row>
    <row r="87">
      <c r="H87" s="6" t="inlineStr">
        <is>
          <t>LKFN</t>
        </is>
      </c>
      <c r="I87" s="61" t="n">
        <v>0.00035181</v>
      </c>
      <c r="J87" s="6" t="inlineStr">
        <is>
          <t>LAKELAND FINANCIAL CORP</t>
        </is>
      </c>
      <c r="K87" s="6" t="inlineStr">
        <is>
          <t>Financials</t>
        </is>
      </c>
      <c r="L87" s="6" t="inlineStr"/>
      <c r="M87" s="7">
        <f>IF(H87="","",IFERROR(VLOOKUP(K87,$P$5:$Q$15,2,FALSE),"현금·선물"))</f>
        <v/>
      </c>
    </row>
    <row r="88">
      <c r="H88" s="6" t="inlineStr">
        <is>
          <t>BKE</t>
        </is>
      </c>
      <c r="I88" s="61" t="n">
        <v>0.00034437</v>
      </c>
      <c r="J88" s="6" t="inlineStr">
        <is>
          <t>BUCKLE</t>
        </is>
      </c>
      <c r="K88" s="6" t="inlineStr">
        <is>
          <t>Consumer Discretionary</t>
        </is>
      </c>
      <c r="L88" s="6" t="inlineStr"/>
      <c r="M88" s="7">
        <f>IF(H88="","",IFERROR(VLOOKUP(K88,$P$5:$Q$15,2,FALSE),"현금·선물"))</f>
        <v/>
      </c>
    </row>
    <row r="89">
      <c r="H89" s="6" t="inlineStr">
        <is>
          <t>FLO</t>
        </is>
      </c>
      <c r="I89" s="61" t="n">
        <v>0.00030009</v>
      </c>
      <c r="J89" s="6" t="inlineStr">
        <is>
          <t>FLOWERS FOODS INC</t>
        </is>
      </c>
      <c r="K89" s="6" t="inlineStr">
        <is>
          <t>Consumer Staples</t>
        </is>
      </c>
      <c r="L89" s="6" t="inlineStr"/>
      <c r="M89" s="7">
        <f>IF(H89="","",IFERROR(VLOOKUP(K89,$P$5:$Q$15,2,FALSE),"현금·선물"))</f>
        <v/>
      </c>
    </row>
    <row r="90">
      <c r="H90" s="6" t="inlineStr">
        <is>
          <t>PFBC</t>
        </is>
      </c>
      <c r="I90" s="61" t="n">
        <v>0.00027976</v>
      </c>
      <c r="J90" s="6" t="inlineStr">
        <is>
          <t>PREFERRED BANK</t>
        </is>
      </c>
      <c r="K90" s="6" t="inlineStr">
        <is>
          <t>Financials</t>
        </is>
      </c>
      <c r="L90" s="6" t="inlineStr"/>
      <c r="M90" s="7">
        <f>IF(H90="","",IFERROR(VLOOKUP(K90,$P$5:$Q$15,2,FALSE),"현금·선물"))</f>
        <v/>
      </c>
    </row>
    <row r="91">
      <c r="H91" s="6" t="inlineStr">
        <is>
          <t>CNA</t>
        </is>
      </c>
      <c r="I91" s="61" t="n">
        <v>0.00025535</v>
      </c>
      <c r="J91" s="6" t="inlineStr">
        <is>
          <t>CNA FINANCIAL CORP</t>
        </is>
      </c>
      <c r="K91" s="6" t="inlineStr">
        <is>
          <t>Financials</t>
        </is>
      </c>
      <c r="L91" s="6" t="inlineStr"/>
      <c r="M91" s="7">
        <f>IF(H91="","",IFERROR(VLOOKUP(K91,$P$5:$Q$15,2,FALSE),"현금·선물"))</f>
        <v/>
      </c>
    </row>
    <row r="92">
      <c r="H92" s="6" t="inlineStr">
        <is>
          <t>WEN</t>
        </is>
      </c>
      <c r="I92" s="61" t="n">
        <v>0.00024557</v>
      </c>
      <c r="J92" s="6" t="inlineStr">
        <is>
          <t>WENDYS</t>
        </is>
      </c>
      <c r="K92" s="6" t="inlineStr">
        <is>
          <t>Consumer Discretionary</t>
        </is>
      </c>
      <c r="L92" s="6" t="inlineStr"/>
      <c r="M92" s="7">
        <f>IF(H92="","",IFERROR(VLOOKUP(K92,$P$5:$Q$15,2,FALSE),"현금·선물"))</f>
        <v/>
      </c>
    </row>
    <row r="93">
      <c r="H93" s="6" t="inlineStr">
        <is>
          <t>CPF</t>
        </is>
      </c>
      <c r="I93" s="61" t="n">
        <v>0.00023034</v>
      </c>
      <c r="J93" s="6" t="inlineStr">
        <is>
          <t>CENTRAL PACIFIC FINANCIAL CORP</t>
        </is>
      </c>
      <c r="K93" s="6" t="inlineStr">
        <is>
          <t>Financials</t>
        </is>
      </c>
      <c r="L93" s="6" t="inlineStr"/>
      <c r="M93" s="7">
        <f>IF(H93="","",IFERROR(VLOOKUP(K93,$P$5:$Q$15,2,FALSE),"현금·선물"))</f>
        <v/>
      </c>
    </row>
    <row r="94">
      <c r="H94" s="6" t="inlineStr">
        <is>
          <t>HAFC</t>
        </is>
      </c>
      <c r="I94" s="61" t="n">
        <v>0.00022613</v>
      </c>
      <c r="J94" s="6" t="inlineStr">
        <is>
          <t>HANMI FINANCIAL CORP</t>
        </is>
      </c>
      <c r="K94" s="6" t="inlineStr">
        <is>
          <t>Financials</t>
        </is>
      </c>
      <c r="L94" s="6" t="inlineStr"/>
      <c r="M94" s="7">
        <f>IF(H94="","",IFERROR(VLOOKUP(K94,$P$5:$Q$15,2,FALSE),"현금·선물"))</f>
        <v/>
      </c>
    </row>
    <row r="95">
      <c r="H95" s="6" t="inlineStr">
        <is>
          <t>ORRF</t>
        </is>
      </c>
      <c r="I95" s="61" t="n">
        <v>0.00020799</v>
      </c>
      <c r="J95" s="6" t="inlineStr">
        <is>
          <t>ORRSTOWN FINANCIAL SERVICES INC</t>
        </is>
      </c>
      <c r="K95" s="6" t="inlineStr">
        <is>
          <t>Financials</t>
        </is>
      </c>
      <c r="L95" s="6" t="inlineStr"/>
      <c r="M95" s="7">
        <f>IF(H95="","",IFERROR(VLOOKUP(K95,$P$5:$Q$15,2,FALSE),"현금·선물"))</f>
        <v/>
      </c>
    </row>
    <row r="96">
      <c r="H96" s="6" t="inlineStr">
        <is>
          <t>IBCP</t>
        </is>
      </c>
      <c r="I96" s="61" t="n">
        <v>0.00019489</v>
      </c>
      <c r="J96" s="6" t="inlineStr">
        <is>
          <t>INDEPENDENT BANK CORP</t>
        </is>
      </c>
      <c r="K96" s="6" t="inlineStr">
        <is>
          <t>Financials</t>
        </is>
      </c>
      <c r="L96" s="6" t="inlineStr"/>
      <c r="M96" s="7">
        <f>IF(H96="","",IFERROR(VLOOKUP(K96,$P$5:$Q$15,2,FALSE),"현금·선물"))</f>
        <v/>
      </c>
    </row>
    <row r="97">
      <c r="H97" s="6" t="inlineStr">
        <is>
          <t>THFF</t>
        </is>
      </c>
      <c r="I97" s="61" t="n">
        <v>0.00019378</v>
      </c>
      <c r="J97" s="6" t="inlineStr">
        <is>
          <t>FIRST FINANCIAL CORPORATION CORP</t>
        </is>
      </c>
      <c r="K97" s="6" t="inlineStr">
        <is>
          <t>Financials</t>
        </is>
      </c>
      <c r="L97" s="6" t="inlineStr"/>
      <c r="M97" s="7">
        <f>IF(H97="","",IFERROR(VLOOKUP(K97,$P$5:$Q$15,2,FALSE),"현금·선물"))</f>
        <v/>
      </c>
    </row>
    <row r="98">
      <c r="H98" s="6" t="inlineStr">
        <is>
          <t>VRTS</t>
        </is>
      </c>
      <c r="I98" s="61" t="n">
        <v>0.00017768</v>
      </c>
      <c r="J98" s="6" t="inlineStr">
        <is>
          <t>VIRTUS INVESTMENT PARTNERS</t>
        </is>
      </c>
      <c r="K98" s="6" t="inlineStr">
        <is>
          <t>Financials</t>
        </is>
      </c>
      <c r="L98" s="6" t="inlineStr"/>
      <c r="M98" s="7">
        <f>IF(H98="","",IFERROR(VLOOKUP(K98,$P$5:$Q$15,2,FALSE),"현금·선물"))</f>
        <v/>
      </c>
    </row>
    <row r="99">
      <c r="H99" s="6" t="inlineStr">
        <is>
          <t>CCBG</t>
        </is>
      </c>
      <c r="I99" s="61" t="n">
        <v>0.00016509</v>
      </c>
      <c r="J99" s="6" t="inlineStr">
        <is>
          <t>CAPITAL CITY BANK INC</t>
        </is>
      </c>
      <c r="K99" s="6" t="inlineStr">
        <is>
          <t>Financials</t>
        </is>
      </c>
      <c r="L99" s="6" t="inlineStr"/>
      <c r="M99" s="7">
        <f>IF(H99="","",IFERROR(VLOOKUP(K99,$P$5:$Q$15,2,FALSE),"현금·선물"))</f>
        <v/>
      </c>
    </row>
    <row r="100">
      <c r="H100" s="6" t="inlineStr">
        <is>
          <t>USD</t>
        </is>
      </c>
      <c r="I100" s="61" t="n">
        <v>0.00013204</v>
      </c>
      <c r="J100" s="6" t="inlineStr">
        <is>
          <t>US DOLLAR</t>
        </is>
      </c>
      <c r="K100" s="6" t="inlineStr"/>
      <c r="L100" s="6" t="inlineStr"/>
      <c r="M100" s="7">
        <f>IF(H100="","",IFERROR(VLOOKUP(K100,$P$5:$Q$15,2,FALSE),"현금·선물"))</f>
        <v/>
      </c>
    </row>
    <row r="101">
      <c r="H101" s="6" t="inlineStr">
        <is>
          <t>EBF</t>
        </is>
      </c>
      <c r="I101" s="61" t="n">
        <v>0.00013122</v>
      </c>
      <c r="J101" s="6" t="inlineStr">
        <is>
          <t>ENNIS INC</t>
        </is>
      </c>
      <c r="K101" s="6" t="inlineStr">
        <is>
          <t>Industrials</t>
        </is>
      </c>
      <c r="L101" s="6" t="inlineStr"/>
      <c r="M101" s="7">
        <f>IF(H101="","",IFERROR(VLOOKUP(K101,$P$5:$Q$15,2,FALSE),"현금·선물"))</f>
        <v/>
      </c>
    </row>
    <row r="102">
      <c r="H102" s="6" t="inlineStr">
        <is>
          <t>AMSF</t>
        </is>
      </c>
      <c r="I102" s="61" t="n">
        <v>0.00011517</v>
      </c>
      <c r="J102" s="6" t="inlineStr">
        <is>
          <t>AMERISAFE INC</t>
        </is>
      </c>
      <c r="K102" s="6" t="inlineStr">
        <is>
          <t>Financials</t>
        </is>
      </c>
      <c r="L102" s="6" t="inlineStr"/>
      <c r="M102" s="7">
        <f>IF(H102="","",IFERROR(VLOOKUP(K102,$P$5:$Q$15,2,FALSE),"현금·선물"))</f>
        <v/>
      </c>
    </row>
    <row r="103">
      <c r="H103" s="6" t="inlineStr">
        <is>
          <t>ETD</t>
        </is>
      </c>
      <c r="I103" s="61" t="n">
        <v>9.625999999999999e-05</v>
      </c>
      <c r="J103" s="6" t="inlineStr">
        <is>
          <t>ETHAN ALLEN INTERIORS</t>
        </is>
      </c>
      <c r="K103" s="6" t="inlineStr">
        <is>
          <t>Consumer Discretionary</t>
        </is>
      </c>
      <c r="L103" s="6" t="inlineStr"/>
      <c r="M103" s="7">
        <f>IF(H103="","",IFERROR(VLOOKUP(K103,$P$5:$Q$15,2,FALSE),"현금·선물"))</f>
        <v/>
      </c>
    </row>
    <row r="104">
      <c r="H104" s="6" t="inlineStr">
        <is>
          <t>OXM</t>
        </is>
      </c>
      <c r="I104" s="61" t="n">
        <v>8.805e-05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2026-10-20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25.658</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46315</v>
      </c>
      <c r="C182" s="76" t="n">
        <v>34.69</v>
      </c>
      <c r="D182" s="77" t="n">
        <v>34.69</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2026-10-22T01:40:47Z</dcterms:created>
  <dcterms:modified xmlns:dcterms="http://purl.org/dc/terms/" xmlns:xsi="http://www.w3.org/2001/XMLSchema-instance" xsi:type="dcterms:W3CDTF">2026-10-22T01:40:48Z</dcterms:modified>
</cp:coreProperties>
</file>