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0.0464% (KOFIA 2026-09-30)</t>
      </text>
    </comment>
    <comment ref="C7" authorId="0" shapeId="0">
      <text>
        <t>총보수 0.01% + 기타비용 0.06% + 매매·중개수수료 0.1011% (KOFIA 2026-09-30)</t>
      </text>
    </comment>
    <comment ref="C8" authorId="0" shapeId="0">
      <text>
        <t>총보수 0.01% + 기타비용 0.06% + 매매·중개수수료 0.0824% (KOFIA 2026-09-30)</t>
      </text>
    </comment>
    <comment ref="C9" authorId="0" shapeId="0">
      <text>
        <t>총보수 0.0099% + 기타비용 0.07% + 매매·중개수수료 0.0959% (KOFIA 2026-09-30)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2026-10-24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0.0318</v>
      </c>
      <c r="C34" s="2" t="inlineStr">
        <is>
          <t>2026-10-20 기준 · 최근 30일 순투자수익(보수 차감) 연 환산</t>
        </is>
      </c>
    </row>
    <row r="35">
      <c r="A35" s="12" t="inlineStr">
        <is>
          <t>분배수익률 TTM (Schwab 공식)</t>
        </is>
      </c>
      <c r="B35" s="19" t="n">
        <v>0.0324</v>
      </c>
      <c r="C35" s="2" t="inlineStr">
        <is>
          <t>2026-09-30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7"/>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446720</t>
        </is>
      </c>
      <c r="B41" s="33" t="inlineStr">
        <is>
          <t>SOL 미국배당다우존스</t>
        </is>
      </c>
      <c r="C41" s="26" t="n">
        <v>44923</v>
      </c>
      <c r="D41" s="47" t="n">
        <v>36</v>
      </c>
      <c r="E41" s="48" t="n">
        <v>0.003779</v>
      </c>
    </row>
    <row r="42">
      <c r="A42" s="46" t="inlineStr">
        <is>
          <t>446720</t>
        </is>
      </c>
      <c r="B42" s="33" t="inlineStr">
        <is>
          <t>SOL 미국배당다우존스</t>
        </is>
      </c>
      <c r="C42" s="26" t="n">
        <v>44956</v>
      </c>
      <c r="D42" s="47" t="n">
        <v>18</v>
      </c>
      <c r="E42" s="48" t="n">
        <v>0.001938</v>
      </c>
    </row>
    <row r="43">
      <c r="A43" s="46" t="inlineStr">
        <is>
          <t>446720</t>
        </is>
      </c>
      <c r="B43" s="33" t="inlineStr">
        <is>
          <t>SOL 미국배당다우존스</t>
        </is>
      </c>
      <c r="C43" s="26" t="n">
        <v>44984</v>
      </c>
      <c r="D43" s="47" t="n">
        <v>30</v>
      </c>
      <c r="E43" s="48" t="n">
        <v>0.003103</v>
      </c>
    </row>
    <row r="44">
      <c r="A44" s="46" t="inlineStr">
        <is>
          <t>446720</t>
        </is>
      </c>
      <c r="B44" s="33" t="inlineStr">
        <is>
          <t>SOL 미국배당다우존스</t>
        </is>
      </c>
      <c r="C44" s="26" t="n">
        <v>45015</v>
      </c>
      <c r="D44" s="47" t="n">
        <v>29</v>
      </c>
      <c r="E44" s="48" t="n">
        <v>0.003162</v>
      </c>
    </row>
    <row r="45">
      <c r="A45" s="46" t="inlineStr">
        <is>
          <t>446720</t>
        </is>
      </c>
      <c r="B45" s="33" t="inlineStr">
        <is>
          <t>SOL 미국배당다우존스</t>
        </is>
      </c>
      <c r="C45" s="26" t="n">
        <v>45043</v>
      </c>
      <c r="D45" s="47" t="n">
        <v>20</v>
      </c>
      <c r="E45" s="48" t="n">
        <v>0.002106</v>
      </c>
    </row>
    <row r="46">
      <c r="A46" s="46" t="inlineStr">
        <is>
          <t>446720</t>
        </is>
      </c>
      <c r="B46" s="33" t="inlineStr">
        <is>
          <t>SOL 미국배당다우존스</t>
        </is>
      </c>
      <c r="C46" s="26" t="n">
        <v>45076</v>
      </c>
      <c r="D46" s="47" t="n">
        <v>33</v>
      </c>
      <c r="E46" s="48" t="n">
        <v>0.003642</v>
      </c>
    </row>
    <row r="47">
      <c r="A47" s="46" t="inlineStr">
        <is>
          <t>446720</t>
        </is>
      </c>
      <c r="B47" s="33" t="inlineStr">
        <is>
          <t>SOL 미국배당다우존스</t>
        </is>
      </c>
      <c r="C47" s="26" t="n">
        <v>45106</v>
      </c>
      <c r="D47" s="47" t="n">
        <v>32</v>
      </c>
      <c r="E47" s="48" t="n">
        <v>0.003458</v>
      </c>
    </row>
    <row r="48">
      <c r="A48" s="46" t="inlineStr">
        <is>
          <t>446720</t>
        </is>
      </c>
      <c r="B48" s="33" t="inlineStr">
        <is>
          <t>SOL 미국배당다우존스</t>
        </is>
      </c>
      <c r="C48" s="26" t="n">
        <v>45135</v>
      </c>
      <c r="D48" s="47" t="n">
        <v>26</v>
      </c>
      <c r="E48" s="48" t="n">
        <v>0.00274</v>
      </c>
    </row>
    <row r="49">
      <c r="A49" s="46" t="inlineStr">
        <is>
          <t>446720</t>
        </is>
      </c>
      <c r="B49" s="33" t="inlineStr">
        <is>
          <t>SOL 미국배당다우존스</t>
        </is>
      </c>
      <c r="C49" s="26" t="n">
        <v>45168</v>
      </c>
      <c r="D49" s="47" t="n">
        <v>32</v>
      </c>
      <c r="E49" s="48" t="n">
        <v>0.003346</v>
      </c>
    </row>
    <row r="50">
      <c r="A50" s="46" t="inlineStr">
        <is>
          <t>446720</t>
        </is>
      </c>
      <c r="B50" s="33" t="inlineStr">
        <is>
          <t>SOL 미국배당다우존스</t>
        </is>
      </c>
      <c r="C50" s="26" t="n">
        <v>45195</v>
      </c>
      <c r="D50" s="47" t="n">
        <v>27</v>
      </c>
      <c r="E50" s="48" t="n">
        <v>0.002873</v>
      </c>
    </row>
    <row r="51">
      <c r="A51" s="46" t="inlineStr">
        <is>
          <t>446720</t>
        </is>
      </c>
      <c r="B51" s="33" t="inlineStr">
        <is>
          <t>SOL 미국배당다우존스</t>
        </is>
      </c>
      <c r="C51" s="26" t="n">
        <v>45229</v>
      </c>
      <c r="D51" s="47" t="n">
        <v>26</v>
      </c>
      <c r="E51" s="48" t="n">
        <v>0.002864</v>
      </c>
    </row>
    <row r="52">
      <c r="A52" s="46" t="inlineStr">
        <is>
          <t>446720</t>
        </is>
      </c>
      <c r="B52" s="33" t="inlineStr">
        <is>
          <t>SOL 미국배당다우존스</t>
        </is>
      </c>
      <c r="C52" s="26" t="n">
        <v>45259</v>
      </c>
      <c r="D52" s="47" t="n">
        <v>38</v>
      </c>
      <c r="E52" s="48" t="n">
        <v>0.004202</v>
      </c>
    </row>
    <row r="53">
      <c r="A53" s="46" t="inlineStr">
        <is>
          <t>446720</t>
        </is>
      </c>
      <c r="B53" s="33" t="inlineStr">
        <is>
          <t>SOL 미국배당다우존스</t>
        </is>
      </c>
      <c r="C53" s="26" t="n">
        <v>45287</v>
      </c>
      <c r="D53" s="47" t="n">
        <v>30</v>
      </c>
      <c r="E53" s="48" t="n">
        <v>0.0031</v>
      </c>
    </row>
    <row r="54">
      <c r="A54" s="46" t="inlineStr">
        <is>
          <t>446720</t>
        </is>
      </c>
      <c r="B54" s="33" t="inlineStr">
        <is>
          <t>SOL 미국배당다우존스</t>
        </is>
      </c>
      <c r="C54" s="26" t="n">
        <v>45321</v>
      </c>
      <c r="D54" s="47" t="n">
        <v>27</v>
      </c>
      <c r="E54" s="48" t="n">
        <v>0.00267</v>
      </c>
    </row>
    <row r="55">
      <c r="A55" s="46" t="inlineStr">
        <is>
          <t>446720</t>
        </is>
      </c>
      <c r="B55" s="33" t="inlineStr">
        <is>
          <t>SOL 미국배당다우존스</t>
        </is>
      </c>
      <c r="C55" s="26" t="n">
        <v>45350</v>
      </c>
      <c r="D55" s="47" t="n">
        <v>30</v>
      </c>
      <c r="E55" s="48" t="n">
        <v>0.002969</v>
      </c>
    </row>
    <row r="56">
      <c r="A56" s="46" t="inlineStr">
        <is>
          <t>446720</t>
        </is>
      </c>
      <c r="B56" s="33" t="inlineStr">
        <is>
          <t>SOL 미국배당다우존스</t>
        </is>
      </c>
      <c r="C56" s="26" t="n">
        <v>45379</v>
      </c>
      <c r="D56" s="47" t="n">
        <v>24</v>
      </c>
      <c r="E56" s="48" t="n">
        <v>0.002293</v>
      </c>
    </row>
    <row r="57">
      <c r="A57" s="46" t="inlineStr">
        <is>
          <t>446720</t>
        </is>
      </c>
      <c r="B57" s="33" t="inlineStr">
        <is>
          <t>SOL 미국배당다우존스</t>
        </is>
      </c>
      <c r="C57" s="26" t="n">
        <v>45411</v>
      </c>
      <c r="D57" s="47" t="n">
        <v>33</v>
      </c>
      <c r="E57" s="48" t="n">
        <v>0.003152</v>
      </c>
    </row>
    <row r="58">
      <c r="A58" s="46" t="inlineStr">
        <is>
          <t>446720</t>
        </is>
      </c>
      <c r="B58" s="33" t="inlineStr">
        <is>
          <t>SOL 미국배당다우존스</t>
        </is>
      </c>
      <c r="C58" s="26" t="n">
        <v>45442</v>
      </c>
      <c r="D58" s="47" t="n">
        <v>39</v>
      </c>
      <c r="E58" s="48" t="n">
        <v>0.003771</v>
      </c>
    </row>
    <row r="59">
      <c r="A59" s="46" t="inlineStr">
        <is>
          <t>446720</t>
        </is>
      </c>
      <c r="B59" s="33" t="inlineStr">
        <is>
          <t>SOL 미국배당다우존스</t>
        </is>
      </c>
      <c r="C59" s="26" t="n">
        <v>45470</v>
      </c>
      <c r="D59" s="47" t="n">
        <v>38</v>
      </c>
      <c r="E59" s="48" t="n">
        <v>0.003575</v>
      </c>
    </row>
    <row r="60">
      <c r="A60" s="46" t="inlineStr">
        <is>
          <t>446720</t>
        </is>
      </c>
      <c r="B60" s="33" t="inlineStr">
        <is>
          <t>SOL 미국배당다우존스</t>
        </is>
      </c>
      <c r="C60" s="26" t="n">
        <v>45503</v>
      </c>
      <c r="D60" s="47" t="n">
        <v>35</v>
      </c>
      <c r="E60" s="48" t="n">
        <v>0.003132</v>
      </c>
    </row>
    <row r="61">
      <c r="A61" s="46" t="inlineStr">
        <is>
          <t>446720</t>
        </is>
      </c>
      <c r="B61" s="33" t="inlineStr">
        <is>
          <t>SOL 미국배당다우존스</t>
        </is>
      </c>
      <c r="C61" s="26" t="n">
        <v>45533</v>
      </c>
      <c r="D61" s="47" t="n">
        <v>35</v>
      </c>
      <c r="E61" s="48" t="n">
        <v>0.003204</v>
      </c>
    </row>
    <row r="62">
      <c r="A62" s="46" t="inlineStr">
        <is>
          <t>446720</t>
        </is>
      </c>
      <c r="B62" s="33" t="inlineStr">
        <is>
          <t>SOL 미국배당다우존스</t>
        </is>
      </c>
      <c r="C62" s="26" t="n">
        <v>45562</v>
      </c>
      <c r="D62" s="47" t="n">
        <v>30</v>
      </c>
      <c r="E62" s="48" t="n">
        <v>0.002759</v>
      </c>
    </row>
    <row r="63">
      <c r="A63" s="46" t="inlineStr">
        <is>
          <t>446720</t>
        </is>
      </c>
      <c r="B63" s="33" t="inlineStr">
        <is>
          <t>SOL 미국배당다우존스</t>
        </is>
      </c>
      <c r="C63" s="26" t="n">
        <v>45595</v>
      </c>
      <c r="D63" s="47" t="n">
        <v>32</v>
      </c>
      <c r="E63" s="48" t="n">
        <v>0.002775</v>
      </c>
    </row>
    <row r="64">
      <c r="A64" s="46" t="inlineStr">
        <is>
          <t>446720</t>
        </is>
      </c>
      <c r="B64" s="33" t="inlineStr">
        <is>
          <t>SOL 미국배당다우존스</t>
        </is>
      </c>
      <c r="C64" s="26" t="n">
        <v>45624</v>
      </c>
      <c r="D64" s="47" t="n">
        <v>46</v>
      </c>
      <c r="E64" s="48" t="n">
        <v>0.003817</v>
      </c>
    </row>
    <row r="65">
      <c r="A65" s="46" t="inlineStr">
        <is>
          <t>446720</t>
        </is>
      </c>
      <c r="B65" s="33" t="inlineStr">
        <is>
          <t>SOL 미국배당다우존스</t>
        </is>
      </c>
      <c r="C65" s="26" t="n">
        <v>45653</v>
      </c>
      <c r="D65" s="47" t="n">
        <v>35</v>
      </c>
      <c r="E65" s="48" t="n">
        <v>0.002942</v>
      </c>
    </row>
    <row r="66">
      <c r="A66" s="46" t="inlineStr">
        <is>
          <t>446720</t>
        </is>
      </c>
      <c r="B66" s="33" t="inlineStr">
        <is>
          <t>SOL 미국배당다우존스</t>
        </is>
      </c>
      <c r="C66" s="26" t="n">
        <v>45681</v>
      </c>
      <c r="D66" s="47" t="n">
        <v>42</v>
      </c>
      <c r="E66" s="48" t="n">
        <v>0.003564</v>
      </c>
    </row>
    <row r="67">
      <c r="A67" s="46" t="inlineStr">
        <is>
          <t>446720</t>
        </is>
      </c>
      <c r="B67" s="33" t="inlineStr">
        <is>
          <t>SOL 미국배당다우존스</t>
        </is>
      </c>
      <c r="C67" s="26" t="n">
        <v>45715</v>
      </c>
      <c r="D67" s="47" t="n">
        <v>32</v>
      </c>
      <c r="E67" s="48" t="n">
        <v>0.002692</v>
      </c>
    </row>
    <row r="68">
      <c r="A68" s="46" t="inlineStr">
        <is>
          <t>446720</t>
        </is>
      </c>
      <c r="B68" s="33" t="inlineStr">
        <is>
          <t>SOL 미국배당다우존스</t>
        </is>
      </c>
      <c r="C68" s="26" t="n">
        <v>45744</v>
      </c>
      <c r="D68" s="47" t="n">
        <v>38</v>
      </c>
      <c r="E68" s="48" t="n">
        <v>0.003181</v>
      </c>
    </row>
    <row r="69">
      <c r="A69" s="46" t="inlineStr">
        <is>
          <t>446720</t>
        </is>
      </c>
      <c r="B69" s="33" t="inlineStr">
        <is>
          <t>SOL 미국배당다우존스</t>
        </is>
      </c>
      <c r="C69" s="26" t="n">
        <v>45776</v>
      </c>
      <c r="D69" s="47" t="n">
        <v>26</v>
      </c>
      <c r="E69" s="48" t="n">
        <v>0.002409</v>
      </c>
    </row>
    <row r="70">
      <c r="A70" s="46" t="inlineStr">
        <is>
          <t>446720</t>
        </is>
      </c>
      <c r="B70" s="33" t="inlineStr">
        <is>
          <t>SOL 미국배당다우존스</t>
        </is>
      </c>
      <c r="C70" s="26" t="n">
        <v>45806</v>
      </c>
      <c r="D70" s="47" t="n">
        <v>30</v>
      </c>
      <c r="E70" s="48" t="n">
        <v>0.002857</v>
      </c>
    </row>
    <row r="71">
      <c r="A71" s="46" t="inlineStr">
        <is>
          <t>446720</t>
        </is>
      </c>
      <c r="B71" s="33" t="inlineStr">
        <is>
          <t>SOL 미국배당다우존스</t>
        </is>
      </c>
      <c r="C71" s="26" t="n">
        <v>45835</v>
      </c>
      <c r="D71" s="47" t="n">
        <v>33</v>
      </c>
      <c r="E71" s="48" t="n">
        <v>0.00315</v>
      </c>
    </row>
    <row r="72">
      <c r="A72" s="46" t="inlineStr">
        <is>
          <t>446720</t>
        </is>
      </c>
      <c r="B72" s="33" t="inlineStr">
        <is>
          <t>SOL 미국배당다우존스</t>
        </is>
      </c>
      <c r="C72" s="26" t="n">
        <v>45868</v>
      </c>
      <c r="D72" s="47" t="n">
        <v>28</v>
      </c>
      <c r="E72" s="48" t="n">
        <v>0.002532</v>
      </c>
    </row>
    <row r="73">
      <c r="A73" s="46" t="inlineStr">
        <is>
          <t>446720</t>
        </is>
      </c>
      <c r="B73" s="33" t="inlineStr">
        <is>
          <t>SOL 미국배당다우존스</t>
        </is>
      </c>
      <c r="C73" s="26" t="n">
        <v>45897</v>
      </c>
      <c r="D73" s="47" t="n">
        <v>32</v>
      </c>
      <c r="E73" s="48" t="n">
        <v>0.002839</v>
      </c>
    </row>
    <row r="74">
      <c r="A74" s="46" t="inlineStr">
        <is>
          <t>446720</t>
        </is>
      </c>
      <c r="B74" s="33" t="inlineStr">
        <is>
          <t>SOL 미국배당다우존스</t>
        </is>
      </c>
      <c r="C74" s="26" t="n">
        <v>45929</v>
      </c>
      <c r="D74" s="47" t="n">
        <v>35</v>
      </c>
      <c r="E74" s="48" t="n">
        <v>0.00314</v>
      </c>
    </row>
    <row r="75">
      <c r="A75" s="46" t="inlineStr">
        <is>
          <t>446720</t>
        </is>
      </c>
      <c r="B75" s="33" t="inlineStr">
        <is>
          <t>SOL 미국배당다우존스</t>
        </is>
      </c>
      <c r="C75" s="26" t="n">
        <v>45960</v>
      </c>
      <c r="D75" s="47" t="n">
        <v>34</v>
      </c>
      <c r="E75" s="48" t="n">
        <v>0.003026</v>
      </c>
    </row>
    <row r="76">
      <c r="A76" s="46" t="inlineStr">
        <is>
          <t>446720</t>
        </is>
      </c>
      <c r="B76" s="33" t="inlineStr">
        <is>
          <t>SOL 미국배당다우존스</t>
        </is>
      </c>
      <c r="C76" s="26" t="n">
        <v>45988</v>
      </c>
      <c r="D76" s="47" t="n">
        <v>35</v>
      </c>
      <c r="E76" s="48" t="n">
        <v>0.003017</v>
      </c>
    </row>
    <row r="77">
      <c r="A77" s="46" t="inlineStr">
        <is>
          <t>446720</t>
        </is>
      </c>
      <c r="B77" s="33" t="inlineStr">
        <is>
          <t>SOL 미국배당다우존스</t>
        </is>
      </c>
      <c r="C77" s="26" t="n">
        <v>46020</v>
      </c>
      <c r="D77" s="47" t="n">
        <v>37</v>
      </c>
      <c r="E77" s="48" t="n">
        <v>0.003141</v>
      </c>
    </row>
    <row r="78">
      <c r="A78" s="46" t="inlineStr">
        <is>
          <t>446720</t>
        </is>
      </c>
      <c r="B78" s="33" t="inlineStr">
        <is>
          <t>SOL 미국배당다우존스</t>
        </is>
      </c>
      <c r="C78" s="26" t="n">
        <v>46051</v>
      </c>
      <c r="D78" s="47" t="n">
        <v>30</v>
      </c>
      <c r="E78" s="48" t="n">
        <v>0.002463</v>
      </c>
    </row>
    <row r="79">
      <c r="A79" s="46" t="inlineStr">
        <is>
          <t>446720</t>
        </is>
      </c>
      <c r="B79" s="33" t="inlineStr">
        <is>
          <t>SOL 미국배당다우존스</t>
        </is>
      </c>
      <c r="C79" s="26" t="n">
        <v>46079</v>
      </c>
      <c r="D79" s="47" t="n">
        <v>35</v>
      </c>
      <c r="E79" s="48" t="n">
        <v>0.00266</v>
      </c>
    </row>
    <row r="80">
      <c r="A80" s="46" t="inlineStr">
        <is>
          <t>446720</t>
        </is>
      </c>
      <c r="B80" s="33" t="inlineStr">
        <is>
          <t>SOL 미국배당다우존스</t>
        </is>
      </c>
      <c r="C80" s="26" t="n">
        <v>46111</v>
      </c>
      <c r="D80" s="47" t="n">
        <v>33</v>
      </c>
      <c r="E80" s="48" t="n">
        <v>0.00244</v>
      </c>
    </row>
    <row r="81">
      <c r="A81" s="46" t="inlineStr">
        <is>
          <t>446720</t>
        </is>
      </c>
      <c r="B81" s="33" t="inlineStr">
        <is>
          <t>SOL 미국배당다우존스</t>
        </is>
      </c>
      <c r="C81" s="26" t="n">
        <v>46141</v>
      </c>
      <c r="D81" s="47" t="n">
        <v>30</v>
      </c>
      <c r="E81" s="48" t="n">
        <v>0.002241</v>
      </c>
    </row>
    <row r="82">
      <c r="A82" s="46" t="inlineStr">
        <is>
          <t>446720</t>
        </is>
      </c>
      <c r="B82" s="33" t="inlineStr">
        <is>
          <t>SOL 미국배당다우존스</t>
        </is>
      </c>
      <c r="C82" s="26" t="n">
        <v>46170</v>
      </c>
      <c r="D82" s="47" t="n">
        <v>33</v>
      </c>
      <c r="E82" s="48" t="n">
        <v>0.002313</v>
      </c>
    </row>
    <row r="83">
      <c r="A83" s="46" t="inlineStr">
        <is>
          <t>446720</t>
        </is>
      </c>
      <c r="B83" s="33" t="inlineStr">
        <is>
          <t>SOL 미국배당다우존스</t>
        </is>
      </c>
      <c r="C83" s="26" t="n">
        <v>46202</v>
      </c>
      <c r="D83" s="47" t="n">
        <v>42</v>
      </c>
      <c r="E83" s="48" t="n">
        <v>0.002932</v>
      </c>
    </row>
    <row r="84">
      <c r="A84" s="46" t="inlineStr">
        <is>
          <t>446720</t>
        </is>
      </c>
      <c r="B84" s="33" t="inlineStr">
        <is>
          <t>SOL 미국배당다우존스</t>
        </is>
      </c>
      <c r="C84" s="26" t="n">
        <v>46233</v>
      </c>
      <c r="D84" s="47" t="n">
        <v>35</v>
      </c>
      <c r="E84" s="48" t="n">
        <v>0.00245</v>
      </c>
    </row>
    <row r="85">
      <c r="A85" s="46" t="inlineStr">
        <is>
          <t>446720</t>
        </is>
      </c>
      <c r="B85" s="33" t="inlineStr">
        <is>
          <t>SOL 미국배당다우존스</t>
        </is>
      </c>
      <c r="C85" s="26" t="n">
        <v>46262</v>
      </c>
      <c r="D85" s="47" t="n">
        <v>27</v>
      </c>
      <c r="E85" s="48" t="n">
        <v>0.001926</v>
      </c>
    </row>
    <row r="86">
      <c r="A86" s="46" t="inlineStr">
        <is>
          <t>446720</t>
        </is>
      </c>
      <c r="B86" s="33" t="inlineStr">
        <is>
          <t>SOL 미국배당다우존스</t>
        </is>
      </c>
      <c r="C86" s="26" t="n">
        <v>46294</v>
      </c>
      <c r="D86" s="47" t="n">
        <v>37</v>
      </c>
      <c r="E86" s="48" t="n">
        <v>0.0028</v>
      </c>
    </row>
    <row r="87">
      <c r="A87" s="46" t="inlineStr">
        <is>
          <t>402970</t>
        </is>
      </c>
      <c r="B87" s="33" t="inlineStr">
        <is>
          <t>ACE 미국배당다우존스</t>
        </is>
      </c>
      <c r="C87" s="26" t="n">
        <v>44588</v>
      </c>
      <c r="D87" s="47" t="n">
        <v>55</v>
      </c>
      <c r="E87" s="48" t="n">
        <v>0.005337</v>
      </c>
    </row>
    <row r="88">
      <c r="A88" s="46" t="inlineStr">
        <is>
          <t>402970</t>
        </is>
      </c>
      <c r="B88" s="33" t="inlineStr">
        <is>
          <t>ACE 미국배당다우존스</t>
        </is>
      </c>
      <c r="C88" s="26" t="n">
        <v>44679</v>
      </c>
      <c r="D88" s="47" t="n">
        <v>65</v>
      </c>
      <c r="E88" s="48" t="n">
        <v>0.006095000000000001</v>
      </c>
    </row>
    <row r="89">
      <c r="A89" s="46" t="inlineStr">
        <is>
          <t>402970</t>
        </is>
      </c>
      <c r="B89" s="33" t="inlineStr">
        <is>
          <t>ACE 미국배당다우존스</t>
        </is>
      </c>
      <c r="C89" s="26" t="n">
        <v>44770</v>
      </c>
      <c r="D89" s="47" t="n">
        <v>65</v>
      </c>
      <c r="E89" s="48" t="n">
        <v>0.006222</v>
      </c>
    </row>
    <row r="90">
      <c r="A90" s="46" t="inlineStr">
        <is>
          <t>402970</t>
        </is>
      </c>
      <c r="B90" s="33" t="inlineStr">
        <is>
          <t>ACE 미국배당다우존스</t>
        </is>
      </c>
      <c r="C90" s="26" t="n">
        <v>44862</v>
      </c>
      <c r="D90" s="47" t="n">
        <v>105</v>
      </c>
      <c r="E90" s="48" t="n">
        <v>0.009284000000000001</v>
      </c>
    </row>
    <row r="91">
      <c r="A91" s="46" t="inlineStr">
        <is>
          <t>402970</t>
        </is>
      </c>
      <c r="B91" s="33" t="inlineStr">
        <is>
          <t>ACE 미국배당다우존스</t>
        </is>
      </c>
      <c r="C91" s="26" t="n">
        <v>44956</v>
      </c>
      <c r="D91" s="47" t="n">
        <v>85</v>
      </c>
      <c r="E91" s="48" t="n">
        <v>0.008215</v>
      </c>
    </row>
    <row r="92">
      <c r="A92" s="46" t="inlineStr">
        <is>
          <t>402970</t>
        </is>
      </c>
      <c r="B92" s="33" t="inlineStr">
        <is>
          <t>ACE 미국배당다우존스</t>
        </is>
      </c>
      <c r="C92" s="26" t="n">
        <v>45043</v>
      </c>
      <c r="D92" s="47" t="n">
        <v>100</v>
      </c>
      <c r="E92" s="48" t="n">
        <v>0.009443</v>
      </c>
    </row>
    <row r="93">
      <c r="A93" s="46" t="inlineStr">
        <is>
          <t>402970</t>
        </is>
      </c>
      <c r="B93" s="33" t="inlineStr">
        <is>
          <t>ACE 미국배당다우존스</t>
        </is>
      </c>
      <c r="C93" s="26" t="n">
        <v>45135</v>
      </c>
      <c r="D93" s="47" t="n">
        <v>80</v>
      </c>
      <c r="E93" s="48" t="n">
        <v>0.007578000000000001</v>
      </c>
    </row>
    <row r="94">
      <c r="A94" s="46" t="inlineStr">
        <is>
          <t>402970</t>
        </is>
      </c>
      <c r="B94" s="33" t="inlineStr">
        <is>
          <t>ACE 미국배당다우존스</t>
        </is>
      </c>
      <c r="C94" s="26" t="n">
        <v>45168</v>
      </c>
      <c r="D94" s="47" t="n">
        <v>35</v>
      </c>
      <c r="E94" s="48" t="n">
        <v>0.003306</v>
      </c>
    </row>
    <row r="95">
      <c r="A95" s="46" t="inlineStr">
        <is>
          <t>402970</t>
        </is>
      </c>
      <c r="B95" s="33" t="inlineStr">
        <is>
          <t>ACE 미국배당다우존스</t>
        </is>
      </c>
      <c r="C95" s="26" t="n">
        <v>45195</v>
      </c>
      <c r="D95" s="47" t="n">
        <v>45</v>
      </c>
      <c r="E95" s="48" t="n">
        <v>0.004327</v>
      </c>
    </row>
    <row r="96">
      <c r="A96" s="46" t="inlineStr">
        <is>
          <t>402970</t>
        </is>
      </c>
      <c r="B96" s="33" t="inlineStr">
        <is>
          <t>ACE 미국배당다우존스</t>
        </is>
      </c>
      <c r="C96" s="26" t="n">
        <v>45229</v>
      </c>
      <c r="D96" s="47" t="n">
        <v>25</v>
      </c>
      <c r="E96" s="48" t="n">
        <v>0.002493</v>
      </c>
    </row>
    <row r="97">
      <c r="A97" s="46" t="inlineStr">
        <is>
          <t>402970</t>
        </is>
      </c>
      <c r="B97" s="33" t="inlineStr">
        <is>
          <t>ACE 미국배당다우존스</t>
        </is>
      </c>
      <c r="C97" s="26" t="n">
        <v>45259</v>
      </c>
      <c r="D97" s="47" t="n">
        <v>37</v>
      </c>
      <c r="E97" s="48" t="n">
        <v>0.0037</v>
      </c>
    </row>
    <row r="98">
      <c r="A98" s="46" t="inlineStr">
        <is>
          <t>402970</t>
        </is>
      </c>
      <c r="B98" s="33" t="inlineStr">
        <is>
          <t>ACE 미국배당다우존스</t>
        </is>
      </c>
      <c r="C98" s="26" t="n">
        <v>45287</v>
      </c>
      <c r="D98" s="47" t="n">
        <v>45</v>
      </c>
      <c r="E98" s="48" t="n">
        <v>0.004204</v>
      </c>
    </row>
    <row r="99">
      <c r="A99" s="46" t="inlineStr">
        <is>
          <t>402970</t>
        </is>
      </c>
      <c r="B99" s="33" t="inlineStr">
        <is>
          <t>ACE 미국배당다우존스</t>
        </is>
      </c>
      <c r="C99" s="26" t="n">
        <v>45321</v>
      </c>
      <c r="D99" s="47" t="n">
        <v>30</v>
      </c>
      <c r="E99" s="48" t="n">
        <v>0.002685</v>
      </c>
    </row>
    <row r="100">
      <c r="A100" s="46" t="inlineStr">
        <is>
          <t>402970</t>
        </is>
      </c>
      <c r="B100" s="33" t="inlineStr">
        <is>
          <t>ACE 미국배당다우존스</t>
        </is>
      </c>
      <c r="C100" s="26" t="n">
        <v>45350</v>
      </c>
      <c r="D100" s="47" t="n">
        <v>34</v>
      </c>
      <c r="E100" s="48" t="n">
        <v>0.003045</v>
      </c>
    </row>
    <row r="101">
      <c r="A101" s="46" t="inlineStr">
        <is>
          <t>402970</t>
        </is>
      </c>
      <c r="B101" s="33" t="inlineStr">
        <is>
          <t>ACE 미국배당다우존스</t>
        </is>
      </c>
      <c r="C101" s="26" t="n">
        <v>45379</v>
      </c>
      <c r="D101" s="47" t="n">
        <v>44</v>
      </c>
      <c r="E101" s="48" t="n">
        <v>0.003805</v>
      </c>
    </row>
    <row r="102">
      <c r="A102" s="46" t="inlineStr">
        <is>
          <t>402970</t>
        </is>
      </c>
      <c r="B102" s="33" t="inlineStr">
        <is>
          <t>ACE 미국배당다우존스</t>
        </is>
      </c>
      <c r="C102" s="26" t="n">
        <v>45411</v>
      </c>
      <c r="D102" s="47" t="n">
        <v>32</v>
      </c>
      <c r="E102" s="48" t="n">
        <v>0.002771</v>
      </c>
    </row>
    <row r="103">
      <c r="A103" s="46" t="inlineStr">
        <is>
          <t>402970</t>
        </is>
      </c>
      <c r="B103" s="33" t="inlineStr">
        <is>
          <t>ACE 미국배당다우존스</t>
        </is>
      </c>
      <c r="C103" s="26" t="n">
        <v>45442</v>
      </c>
      <c r="D103" s="47" t="n">
        <v>39</v>
      </c>
      <c r="E103" s="48" t="n">
        <v>0.003413</v>
      </c>
    </row>
    <row r="104">
      <c r="A104" s="46" t="inlineStr">
        <is>
          <t>402970</t>
        </is>
      </c>
      <c r="B104" s="33" t="inlineStr">
        <is>
          <t>ACE 미국배당다우존스</t>
        </is>
      </c>
      <c r="C104" s="26" t="n">
        <v>45470</v>
      </c>
      <c r="D104" s="47" t="n">
        <v>44</v>
      </c>
      <c r="E104" s="48" t="n">
        <v>0.003742</v>
      </c>
    </row>
    <row r="105">
      <c r="A105" s="46" t="inlineStr">
        <is>
          <t>402970</t>
        </is>
      </c>
      <c r="B105" s="33" t="inlineStr">
        <is>
          <t>ACE 미국배당다우존스</t>
        </is>
      </c>
      <c r="C105" s="26" t="n">
        <v>45503</v>
      </c>
      <c r="D105" s="47" t="n">
        <v>44</v>
      </c>
      <c r="E105" s="48" t="n">
        <v>0.00356</v>
      </c>
    </row>
    <row r="106">
      <c r="A106" s="46" t="inlineStr">
        <is>
          <t>402970</t>
        </is>
      </c>
      <c r="B106" s="33" t="inlineStr">
        <is>
          <t>ACE 미국배당다우존스</t>
        </is>
      </c>
      <c r="C106" s="26" t="n">
        <v>45547</v>
      </c>
      <c r="D106" s="47" t="n">
        <v>56</v>
      </c>
      <c r="E106" s="48" t="n">
        <v>0.00466</v>
      </c>
    </row>
    <row r="107">
      <c r="A107" s="46" t="inlineStr">
        <is>
          <t>402970</t>
        </is>
      </c>
      <c r="B107" s="33" t="inlineStr">
        <is>
          <t>ACE 미국배당다우존스</t>
        </is>
      </c>
      <c r="C107" s="26" t="n">
        <v>45579</v>
      </c>
      <c r="D107" s="47" t="n">
        <v>45</v>
      </c>
      <c r="E107" s="48" t="n">
        <v>0.003633</v>
      </c>
    </row>
    <row r="108">
      <c r="A108" s="46" t="inlineStr">
        <is>
          <t>402970</t>
        </is>
      </c>
      <c r="B108" s="33" t="inlineStr">
        <is>
          <t>ACE 미국배당다우존스</t>
        </is>
      </c>
      <c r="C108" s="26" t="n">
        <v>45610</v>
      </c>
      <c r="D108" s="47" t="n">
        <v>30</v>
      </c>
      <c r="E108" s="48" t="n">
        <v>0.002276</v>
      </c>
    </row>
    <row r="109">
      <c r="A109" s="46" t="inlineStr">
        <is>
          <t>402970</t>
        </is>
      </c>
      <c r="B109" s="33" t="inlineStr">
        <is>
          <t>ACE 미국배당다우존스</t>
        </is>
      </c>
      <c r="C109" s="26" t="n">
        <v>45638</v>
      </c>
      <c r="D109" s="47" t="n">
        <v>68</v>
      </c>
      <c r="E109" s="48" t="n">
        <v>0.005121</v>
      </c>
    </row>
    <row r="110">
      <c r="A110" s="46" t="inlineStr">
        <is>
          <t>402970</t>
        </is>
      </c>
      <c r="B110" s="33" t="inlineStr">
        <is>
          <t>ACE 미국배당다우존스</t>
        </is>
      </c>
      <c r="C110" s="26" t="n">
        <v>45671</v>
      </c>
      <c r="D110" s="47" t="n">
        <v>39</v>
      </c>
      <c r="E110" s="48" t="n">
        <v>0.003025</v>
      </c>
    </row>
    <row r="111">
      <c r="A111" s="46" t="inlineStr">
        <is>
          <t>402970</t>
        </is>
      </c>
      <c r="B111" s="33" t="inlineStr">
        <is>
          <t>ACE 미국배당다우존스</t>
        </is>
      </c>
      <c r="C111" s="26" t="n">
        <v>45701</v>
      </c>
      <c r="D111" s="47" t="n">
        <v>28</v>
      </c>
      <c r="E111" s="48" t="n">
        <v>0.002142</v>
      </c>
    </row>
    <row r="112">
      <c r="A112" s="46" t="inlineStr">
        <is>
          <t>402970</t>
        </is>
      </c>
      <c r="B112" s="33" t="inlineStr">
        <is>
          <t>ACE 미국배당다우존스</t>
        </is>
      </c>
      <c r="C112" s="26" t="n">
        <v>45729</v>
      </c>
      <c r="D112" s="47" t="n">
        <v>46</v>
      </c>
      <c r="E112" s="48" t="n">
        <v>0.003543</v>
      </c>
    </row>
    <row r="113">
      <c r="A113" s="46" t="inlineStr">
        <is>
          <t>402970</t>
        </is>
      </c>
      <c r="B113" s="33" t="inlineStr">
        <is>
          <t>ACE 미국배당다우존스</t>
        </is>
      </c>
      <c r="C113" s="26" t="n">
        <v>45761</v>
      </c>
      <c r="D113" s="47" t="n">
        <v>35</v>
      </c>
      <c r="E113" s="48" t="n">
        <v>0.002925</v>
      </c>
    </row>
    <row r="114">
      <c r="A114" s="46" t="inlineStr">
        <is>
          <t>402970</t>
        </is>
      </c>
      <c r="B114" s="33" t="inlineStr">
        <is>
          <t>ACE 미국배당다우존스</t>
        </is>
      </c>
      <c r="C114" s="26" t="n">
        <v>45791</v>
      </c>
      <c r="D114" s="47" t="n">
        <v>21</v>
      </c>
      <c r="E114" s="48" t="n">
        <v>0.001743</v>
      </c>
    </row>
    <row r="115">
      <c r="A115" s="46" t="inlineStr">
        <is>
          <t>402970</t>
        </is>
      </c>
      <c r="B115" s="33" t="inlineStr">
        <is>
          <t>ACE 미국배당다우존스</t>
        </is>
      </c>
      <c r="C115" s="26" t="n">
        <v>45820</v>
      </c>
      <c r="D115" s="47" t="n">
        <v>45</v>
      </c>
      <c r="E115" s="48" t="n">
        <v>0.003794</v>
      </c>
    </row>
    <row r="116">
      <c r="A116" s="46" t="inlineStr">
        <is>
          <t>402970</t>
        </is>
      </c>
      <c r="B116" s="33" t="inlineStr">
        <is>
          <t>ACE 미국배당다우존스</t>
        </is>
      </c>
      <c r="C116" s="26" t="n">
        <v>45852</v>
      </c>
      <c r="D116" s="47" t="n">
        <v>38</v>
      </c>
      <c r="E116" s="48" t="n">
        <v>0.003116</v>
      </c>
    </row>
    <row r="117">
      <c r="A117" s="46" t="inlineStr">
        <is>
          <t>402970</t>
        </is>
      </c>
      <c r="B117" s="33" t="inlineStr">
        <is>
          <t>ACE 미국배당다우존스</t>
        </is>
      </c>
      <c r="C117" s="26" t="n">
        <v>45882</v>
      </c>
      <c r="D117" s="47" t="n">
        <v>20</v>
      </c>
      <c r="E117" s="48" t="n">
        <v>0.001665</v>
      </c>
    </row>
    <row r="118">
      <c r="A118" s="46" t="inlineStr">
        <is>
          <t>402970</t>
        </is>
      </c>
      <c r="B118" s="33" t="inlineStr">
        <is>
          <t>ACE 미국배당다우존스</t>
        </is>
      </c>
      <c r="C118" s="26" t="n">
        <v>45912</v>
      </c>
      <c r="D118" s="47" t="n">
        <v>44</v>
      </c>
      <c r="E118" s="48" t="n">
        <v>0.003577</v>
      </c>
    </row>
    <row r="119">
      <c r="A119" s="46" t="inlineStr">
        <is>
          <t>402970</t>
        </is>
      </c>
      <c r="B119" s="33" t="inlineStr">
        <is>
          <t>ACE 미국배당다우존스</t>
        </is>
      </c>
      <c r="C119" s="26" t="n">
        <v>45944</v>
      </c>
      <c r="D119" s="47" t="n">
        <v>37</v>
      </c>
      <c r="E119" s="48" t="n">
        <v>0.003019</v>
      </c>
    </row>
    <row r="120">
      <c r="A120" s="46" t="inlineStr">
        <is>
          <t>402970</t>
        </is>
      </c>
      <c r="B120" s="33" t="inlineStr">
        <is>
          <t>ACE 미국배당다우존스</t>
        </is>
      </c>
      <c r="C120" s="26" t="n">
        <v>45974</v>
      </c>
      <c r="D120" s="47" t="n">
        <v>21</v>
      </c>
      <c r="E120" s="48" t="n">
        <v>0.001641</v>
      </c>
    </row>
    <row r="121">
      <c r="A121" s="46" t="inlineStr">
        <is>
          <t>402970</t>
        </is>
      </c>
      <c r="B121" s="33" t="inlineStr">
        <is>
          <t>ACE 미국배당다우존스</t>
        </is>
      </c>
      <c r="C121" s="26" t="n">
        <v>46003</v>
      </c>
      <c r="D121" s="47" t="n">
        <v>53</v>
      </c>
      <c r="E121" s="48" t="n">
        <v>0.00404</v>
      </c>
    </row>
    <row r="122">
      <c r="A122" s="46" t="inlineStr">
        <is>
          <t>402970</t>
        </is>
      </c>
      <c r="B122" s="33" t="inlineStr">
        <is>
          <t>ACE 미국배당다우존스</t>
        </is>
      </c>
      <c r="C122" s="26" t="n">
        <v>46036</v>
      </c>
      <c r="D122" s="47" t="n">
        <v>39</v>
      </c>
      <c r="E122" s="48" t="n">
        <v>0.002885</v>
      </c>
    </row>
    <row r="123">
      <c r="A123" s="46" t="inlineStr">
        <is>
          <t>402970</t>
        </is>
      </c>
      <c r="B123" s="33" t="inlineStr">
        <is>
          <t>ACE 미국배당다우존스</t>
        </is>
      </c>
      <c r="C123" s="26" t="n">
        <v>46065</v>
      </c>
      <c r="D123" s="47" t="n">
        <v>24</v>
      </c>
      <c r="E123" s="48" t="n">
        <v>0.00163</v>
      </c>
    </row>
    <row r="124">
      <c r="A124" s="46" t="inlineStr">
        <is>
          <t>402970</t>
        </is>
      </c>
      <c r="B124" s="33" t="inlineStr">
        <is>
          <t>ACE 미국배당다우존스</t>
        </is>
      </c>
      <c r="C124" s="26" t="n">
        <v>46093</v>
      </c>
      <c r="D124" s="47" t="n">
        <v>46</v>
      </c>
      <c r="E124" s="48" t="n">
        <v>0.003151</v>
      </c>
    </row>
    <row r="125">
      <c r="A125" s="46" t="inlineStr">
        <is>
          <t>402970</t>
        </is>
      </c>
      <c r="B125" s="33" t="inlineStr">
        <is>
          <t>ACE 미국배당다우존스</t>
        </is>
      </c>
      <c r="C125" s="26" t="n">
        <v>46126</v>
      </c>
      <c r="D125" s="47" t="n">
        <v>44</v>
      </c>
      <c r="E125" s="48" t="n">
        <v>0.002994</v>
      </c>
    </row>
    <row r="126">
      <c r="A126" s="46" t="inlineStr">
        <is>
          <t>402970</t>
        </is>
      </c>
      <c r="B126" s="33" t="inlineStr">
        <is>
          <t>ACE 미국배당다우존스</t>
        </is>
      </c>
      <c r="C126" s="26" t="n">
        <v>46156</v>
      </c>
      <c r="D126" s="47" t="n">
        <v>27</v>
      </c>
      <c r="E126" s="48" t="n">
        <v>0.001774</v>
      </c>
    </row>
    <row r="127">
      <c r="A127" s="46" t="inlineStr">
        <is>
          <t>402970</t>
        </is>
      </c>
      <c r="B127" s="33" t="inlineStr">
        <is>
          <t>ACE 미국배당다우존스</t>
        </is>
      </c>
      <c r="C127" s="26" t="n">
        <v>46185</v>
      </c>
      <c r="D127" s="47" t="n">
        <v>40</v>
      </c>
      <c r="E127" s="48" t="n">
        <v>0.002525</v>
      </c>
    </row>
    <row r="128">
      <c r="A128" s="46" t="inlineStr">
        <is>
          <t>402970</t>
        </is>
      </c>
      <c r="B128" s="33" t="inlineStr">
        <is>
          <t>ACE 미국배당다우존스</t>
        </is>
      </c>
      <c r="C128" s="26" t="n">
        <v>46217</v>
      </c>
      <c r="D128" s="47" t="n">
        <v>50</v>
      </c>
      <c r="E128" s="48" t="n">
        <v>0.003178</v>
      </c>
    </row>
    <row r="129">
      <c r="A129" s="46" t="inlineStr">
        <is>
          <t>402970</t>
        </is>
      </c>
      <c r="B129" s="33" t="inlineStr">
        <is>
          <t>ACE 미국배당다우존스</t>
        </is>
      </c>
      <c r="C129" s="26" t="n">
        <v>46247</v>
      </c>
      <c r="D129" s="47" t="n">
        <v>25</v>
      </c>
      <c r="E129" s="48" t="n">
        <v>0.001604</v>
      </c>
    </row>
    <row r="130">
      <c r="A130" s="46" t="inlineStr">
        <is>
          <t>402970</t>
        </is>
      </c>
      <c r="B130" s="33" t="inlineStr">
        <is>
          <t>ACE 미국배당다우존스</t>
        </is>
      </c>
      <c r="C130" s="26" t="n">
        <v>46279</v>
      </c>
      <c r="D130" s="47" t="n">
        <v>35</v>
      </c>
      <c r="E130" s="48" t="n">
        <v>0.002377</v>
      </c>
    </row>
    <row r="131">
      <c r="A131" s="46" t="inlineStr">
        <is>
          <t>402970</t>
        </is>
      </c>
      <c r="B131" s="33" t="inlineStr">
        <is>
          <t>ACE 미국배당다우존스</t>
        </is>
      </c>
      <c r="C131" s="26" t="n">
        <v>46309</v>
      </c>
      <c r="D131" s="47" t="n">
        <v>38</v>
      </c>
      <c r="E131" s="48" t="n">
        <v>0.002624</v>
      </c>
    </row>
    <row r="132">
      <c r="A132" s="46" t="inlineStr">
        <is>
          <t>489250</t>
        </is>
      </c>
      <c r="B132" s="33" t="inlineStr">
        <is>
          <t>KODEX 미국배당다우존스</t>
        </is>
      </c>
      <c r="C132" s="26" t="n">
        <v>45547</v>
      </c>
      <c r="D132" s="47" t="n">
        <v>30</v>
      </c>
      <c r="E132" s="48" t="n">
        <v>0.002954</v>
      </c>
    </row>
    <row r="133">
      <c r="A133" s="46" t="inlineStr">
        <is>
          <t>489250</t>
        </is>
      </c>
      <c r="B133" s="33" t="inlineStr">
        <is>
          <t>KODEX 미국배당다우존스</t>
        </is>
      </c>
      <c r="C133" s="26" t="n">
        <v>45579</v>
      </c>
      <c r="D133" s="47" t="n">
        <v>33</v>
      </c>
      <c r="E133" s="48" t="n">
        <v>0.003148</v>
      </c>
    </row>
    <row r="134">
      <c r="A134" s="46" t="inlineStr">
        <is>
          <t>489250</t>
        </is>
      </c>
      <c r="B134" s="33" t="inlineStr">
        <is>
          <t>KODEX 미국배당다우존스</t>
        </is>
      </c>
      <c r="C134" s="26" t="n">
        <v>45610</v>
      </c>
      <c r="D134" s="47" t="n">
        <v>28</v>
      </c>
      <c r="E134" s="48" t="n">
        <v>0.002509</v>
      </c>
    </row>
    <row r="135">
      <c r="A135" s="46" t="inlineStr">
        <is>
          <t>489250</t>
        </is>
      </c>
      <c r="B135" s="33" t="inlineStr">
        <is>
          <t>KODEX 미국배당다우존스</t>
        </is>
      </c>
      <c r="C135" s="26" t="n">
        <v>45638</v>
      </c>
      <c r="D135" s="47" t="n">
        <v>41</v>
      </c>
      <c r="E135" s="48" t="n">
        <v>0.003647</v>
      </c>
    </row>
    <row r="136">
      <c r="A136" s="46" t="inlineStr">
        <is>
          <t>489250</t>
        </is>
      </c>
      <c r="B136" s="33" t="inlineStr">
        <is>
          <t>KODEX 미국배당다우존스</t>
        </is>
      </c>
      <c r="C136" s="26" t="n">
        <v>45671</v>
      </c>
      <c r="D136" s="47" t="n">
        <v>40</v>
      </c>
      <c r="E136" s="48" t="n">
        <v>0.003659</v>
      </c>
    </row>
    <row r="137">
      <c r="A137" s="46" t="inlineStr">
        <is>
          <t>489250</t>
        </is>
      </c>
      <c r="B137" s="33" t="inlineStr">
        <is>
          <t>KODEX 미국배당다우존스</t>
        </is>
      </c>
      <c r="C137" s="26" t="n">
        <v>45701</v>
      </c>
      <c r="D137" s="47" t="n">
        <v>32</v>
      </c>
      <c r="E137" s="48" t="n">
        <v>0.002909</v>
      </c>
    </row>
    <row r="138">
      <c r="A138" s="46" t="inlineStr">
        <is>
          <t>489250</t>
        </is>
      </c>
      <c r="B138" s="33" t="inlineStr">
        <is>
          <t>KODEX 미국배당다우존스</t>
        </is>
      </c>
      <c r="C138" s="26" t="n">
        <v>45729</v>
      </c>
      <c r="D138" s="47" t="n">
        <v>29</v>
      </c>
      <c r="E138" s="48" t="n">
        <v>0.002634</v>
      </c>
    </row>
    <row r="139">
      <c r="A139" s="46" t="inlineStr">
        <is>
          <t>489250</t>
        </is>
      </c>
      <c r="B139" s="33" t="inlineStr">
        <is>
          <t>KODEX 미국배당다우존스</t>
        </is>
      </c>
      <c r="C139" s="26" t="n">
        <v>45761</v>
      </c>
      <c r="D139" s="47" t="n">
        <v>34</v>
      </c>
      <c r="E139" s="48" t="n">
        <v>0.003378</v>
      </c>
    </row>
    <row r="140">
      <c r="A140" s="46" t="inlineStr">
        <is>
          <t>489250</t>
        </is>
      </c>
      <c r="B140" s="33" t="inlineStr">
        <is>
          <t>KODEX 미국배당다우존스</t>
        </is>
      </c>
      <c r="C140" s="26" t="n">
        <v>45791</v>
      </c>
      <c r="D140" s="47" t="n">
        <v>24</v>
      </c>
      <c r="E140" s="48" t="n">
        <v>0.002356</v>
      </c>
    </row>
    <row r="141">
      <c r="A141" s="46" t="inlineStr">
        <is>
          <t>489250</t>
        </is>
      </c>
      <c r="B141" s="33" t="inlineStr">
        <is>
          <t>KODEX 미국배당다우존스</t>
        </is>
      </c>
      <c r="C141" s="26" t="n">
        <v>45820</v>
      </c>
      <c r="D141" s="47" t="n">
        <v>30</v>
      </c>
      <c r="E141" s="48" t="n">
        <v>0.00299</v>
      </c>
    </row>
    <row r="142">
      <c r="A142" s="46" t="inlineStr">
        <is>
          <t>489250</t>
        </is>
      </c>
      <c r="B142" s="33" t="inlineStr">
        <is>
          <t>KODEX 미국배당다우존스</t>
        </is>
      </c>
      <c r="C142" s="26" t="n">
        <v>45852</v>
      </c>
      <c r="D142" s="47" t="n">
        <v>31</v>
      </c>
      <c r="E142" s="48" t="n">
        <v>0.003007</v>
      </c>
    </row>
    <row r="143">
      <c r="A143" s="46" t="inlineStr">
        <is>
          <t>489250</t>
        </is>
      </c>
      <c r="B143" s="33" t="inlineStr">
        <is>
          <t>KODEX 미국배당다우존스</t>
        </is>
      </c>
      <c r="C143" s="26" t="n">
        <v>45882</v>
      </c>
      <c r="D143" s="47" t="n">
        <v>22</v>
      </c>
      <c r="E143" s="48" t="n">
        <v>0.002165</v>
      </c>
    </row>
    <row r="144">
      <c r="A144" s="46" t="inlineStr">
        <is>
          <t>489250</t>
        </is>
      </c>
      <c r="B144" s="33" t="inlineStr">
        <is>
          <t>KODEX 미국배당다우존스</t>
        </is>
      </c>
      <c r="C144" s="26" t="n">
        <v>45912</v>
      </c>
      <c r="D144" s="47" t="n">
        <v>28</v>
      </c>
      <c r="E144" s="48" t="n">
        <v>0.002688</v>
      </c>
    </row>
    <row r="145">
      <c r="A145" s="46" t="inlineStr">
        <is>
          <t>489250</t>
        </is>
      </c>
      <c r="B145" s="33" t="inlineStr">
        <is>
          <t>KODEX 미국배당다우존스</t>
        </is>
      </c>
      <c r="C145" s="26" t="n">
        <v>45944</v>
      </c>
      <c r="D145" s="47" t="n">
        <v>31</v>
      </c>
      <c r="E145" s="48" t="n">
        <v>0.002989</v>
      </c>
    </row>
    <row r="146">
      <c r="A146" s="46" t="inlineStr">
        <is>
          <t>489250</t>
        </is>
      </c>
      <c r="B146" s="33" t="inlineStr">
        <is>
          <t>KODEX 미국배당다우존스</t>
        </is>
      </c>
      <c r="C146" s="26" t="n">
        <v>45974</v>
      </c>
      <c r="D146" s="47" t="n">
        <v>21</v>
      </c>
      <c r="E146" s="48" t="n">
        <v>0.001939</v>
      </c>
    </row>
    <row r="147">
      <c r="A147" s="46" t="inlineStr">
        <is>
          <t>489250</t>
        </is>
      </c>
      <c r="B147" s="33" t="inlineStr">
        <is>
          <t>KODEX 미국배당다우존스</t>
        </is>
      </c>
      <c r="C147" s="26" t="n">
        <v>46003</v>
      </c>
      <c r="D147" s="47" t="n">
        <v>33</v>
      </c>
      <c r="E147" s="48" t="n">
        <v>0.002966</v>
      </c>
    </row>
    <row r="148">
      <c r="A148" s="46" t="inlineStr">
        <is>
          <t>489250</t>
        </is>
      </c>
      <c r="B148" s="33" t="inlineStr">
        <is>
          <t>KODEX 미국배당다우존스</t>
        </is>
      </c>
      <c r="C148" s="26" t="n">
        <v>46036</v>
      </c>
      <c r="D148" s="47" t="n">
        <v>34</v>
      </c>
      <c r="E148" s="48" t="n">
        <v>0.002964</v>
      </c>
    </row>
    <row r="149">
      <c r="A149" s="46" t="inlineStr">
        <is>
          <t>489250</t>
        </is>
      </c>
      <c r="B149" s="33" t="inlineStr">
        <is>
          <t>KODEX 미국배당다우존스</t>
        </is>
      </c>
      <c r="C149" s="26" t="n">
        <v>46065</v>
      </c>
      <c r="D149" s="47" t="n">
        <v>28</v>
      </c>
      <c r="E149" s="48" t="n">
        <v>0.00224</v>
      </c>
    </row>
    <row r="150">
      <c r="A150" s="46" t="inlineStr">
        <is>
          <t>489250</t>
        </is>
      </c>
      <c r="B150" s="33" t="inlineStr">
        <is>
          <t>KODEX 미국배당다우존스</t>
        </is>
      </c>
      <c r="C150" s="26" t="n">
        <v>46093</v>
      </c>
      <c r="D150" s="47" t="n">
        <v>32</v>
      </c>
      <c r="E150" s="48" t="n">
        <v>0.002589</v>
      </c>
    </row>
    <row r="151">
      <c r="A151" s="46" t="inlineStr">
        <is>
          <t>489250</t>
        </is>
      </c>
      <c r="B151" s="33" t="inlineStr">
        <is>
          <t>KODEX 미국배당다우존스</t>
        </is>
      </c>
      <c r="C151" s="26" t="n">
        <v>46126</v>
      </c>
      <c r="D151" s="47" t="n">
        <v>33</v>
      </c>
      <c r="E151" s="48" t="n">
        <v>0.002645</v>
      </c>
    </row>
    <row r="152">
      <c r="A152" s="46" t="inlineStr">
        <is>
          <t>489250</t>
        </is>
      </c>
      <c r="B152" s="33" t="inlineStr">
        <is>
          <t>KODEX 미국배당다우존스</t>
        </is>
      </c>
      <c r="C152" s="26" t="n">
        <v>46156</v>
      </c>
      <c r="D152" s="47" t="n">
        <v>26</v>
      </c>
      <c r="E152" s="48" t="n">
        <v>0.002016</v>
      </c>
    </row>
    <row r="153">
      <c r="A153" s="46" t="inlineStr">
        <is>
          <t>489250</t>
        </is>
      </c>
      <c r="B153" s="33" t="inlineStr">
        <is>
          <t>KODEX 미국배당다우존스</t>
        </is>
      </c>
      <c r="C153" s="26" t="n">
        <v>46185</v>
      </c>
      <c r="D153" s="47" t="n">
        <v>29</v>
      </c>
      <c r="E153" s="48" t="n">
        <v>0.002161</v>
      </c>
    </row>
    <row r="154">
      <c r="A154" s="46" t="inlineStr">
        <is>
          <t>489250</t>
        </is>
      </c>
      <c r="B154" s="33" t="inlineStr">
        <is>
          <t>KODEX 미국배당다우존스</t>
        </is>
      </c>
      <c r="C154" s="26" t="n">
        <v>46217</v>
      </c>
      <c r="D154" s="47" t="n">
        <v>40</v>
      </c>
      <c r="E154" s="48" t="n">
        <v>0.003001</v>
      </c>
    </row>
    <row r="155">
      <c r="A155" s="46" t="inlineStr">
        <is>
          <t>489250</t>
        </is>
      </c>
      <c r="B155" s="33" t="inlineStr">
        <is>
          <t>KODEX 미국배당다우존스</t>
        </is>
      </c>
      <c r="C155" s="26" t="n">
        <v>46247</v>
      </c>
      <c r="D155" s="47" t="n">
        <v>37</v>
      </c>
      <c r="E155" s="48" t="n">
        <v>0.0028</v>
      </c>
    </row>
    <row r="156">
      <c r="A156" s="46" t="inlineStr">
        <is>
          <t>489250</t>
        </is>
      </c>
      <c r="B156" s="33" t="inlineStr">
        <is>
          <t>KODEX 미국배당다우존스</t>
        </is>
      </c>
      <c r="C156" s="26" t="n">
        <v>46279</v>
      </c>
      <c r="D156" s="47" t="n">
        <v>24</v>
      </c>
      <c r="E156" s="48" t="n">
        <v>0.001924</v>
      </c>
    </row>
    <row r="157">
      <c r="A157" s="46" t="inlineStr">
        <is>
          <t>489250</t>
        </is>
      </c>
      <c r="B157" s="33" t="inlineStr">
        <is>
          <t>KODEX 미국배당다우존스</t>
        </is>
      </c>
      <c r="C157" s="26" t="n">
        <v>46309</v>
      </c>
      <c r="D157" s="47" t="n">
        <v>37</v>
      </c>
      <c r="E157" s="48" t="n">
        <v>0.003019</v>
      </c>
    </row>
    <row r="158">
      <c r="A158" s="46" t="n"/>
      <c r="B158" s="33" t="n"/>
      <c r="C158" s="26" t="n"/>
      <c r="D158" s="47" t="n"/>
      <c r="E158" s="48" t="n"/>
    </row>
    <row r="159">
      <c r="A159" s="46" t="n"/>
      <c r="B159" s="33" t="n"/>
      <c r="C159" s="26" t="n"/>
      <c r="D159" s="47" t="n"/>
      <c r="E159" s="48" t="n"/>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row r="356">
      <c r="A356" s="46" t="n"/>
      <c r="B356" s="33" t="n"/>
      <c r="C356" s="26" t="n"/>
      <c r="D356" s="47" t="n"/>
      <c r="E356" s="48" t="n"/>
    </row>
    <row r="357">
      <c r="A357" s="46" t="n"/>
      <c r="B357" s="33" t="n"/>
      <c r="C357" s="26" t="n"/>
      <c r="D357" s="47" t="n"/>
      <c r="E357"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46326</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0.001064</v>
      </c>
      <c r="D6" s="33" t="inlineStr">
        <is>
          <t>월말</t>
        </is>
      </c>
      <c r="E6" s="52">
        <f>_xlfn.MAXIFS(국내SCHD형_분배!$C$2:$C$357,국내SCHD형_분배!$A$2:$A$357,$B6,국내SCHD형_분배!$C$2:$C$357,"&lt;="&amp;$B$3)</f>
        <v/>
      </c>
      <c r="F6" s="53">
        <f>SUMIFS(국내SCHD형_분배!$D$2:$D$357,국내SCHD형_분배!$A$2:$A$357,$B6,국내SCHD형_분배!$C$2:$C$357,E6)</f>
        <v/>
      </c>
      <c r="G6" s="45">
        <f>COUNTIFS(국내SCHD형_분배!$A$2:$A$357,$B6,국내SCHD형_분배!$C$2:$C$357,"&gt;"&amp;EDATE($B$3,-12),국내SCHD형_분배!$C$2:$C$357,"&lt;="&amp;$B$3)</f>
        <v/>
      </c>
      <c r="H6" s="53">
        <f>SUMIFS(국내SCHD형_분배!$D$2:$D$357,국내SCHD형_분배!$A$2:$A$357,$B6,국내SCHD형_분배!$C$2:$C$357,"&gt;"&amp;EDATE($B$3,-12),국내SCHD형_분배!$C$2:$C$357,"&lt;="&amp;$B$3)</f>
        <v/>
      </c>
      <c r="I6" s="29">
        <f>SUMIFS(국내SCHD형_분배!$E$2:$E$357,국내SCHD형_분배!$A$2:$A$357,$B6,국내SCHD형_분배!$C$2:$C$357,"&gt;"&amp;EDATE($B$3,-12),국내SCHD형_분배!$C$2:$C$357,"&lt;="&amp;$B$3)</f>
        <v/>
      </c>
    </row>
    <row r="7">
      <c r="A7" s="12" t="inlineStr">
        <is>
          <t>SOL 미국배당다우존스</t>
        </is>
      </c>
      <c r="B7" s="50" t="inlineStr">
        <is>
          <t>446720</t>
        </is>
      </c>
      <c r="C7" s="51" t="n">
        <v>0.001711</v>
      </c>
      <c r="D7" s="33" t="inlineStr">
        <is>
          <t>월말</t>
        </is>
      </c>
      <c r="E7" s="52">
        <f>_xlfn.MAXIFS(국내SCHD형_분배!$C$2:$C$357,국내SCHD형_분배!$A$2:$A$357,$B7,국내SCHD형_분배!$C$2:$C$357,"&lt;="&amp;$B$3)</f>
        <v/>
      </c>
      <c r="F7" s="53">
        <f>SUMIFS(국내SCHD형_분배!$D$2:$D$357,국내SCHD형_분배!$A$2:$A$357,$B7,국내SCHD형_분배!$C$2:$C$357,E7)</f>
        <v/>
      </c>
      <c r="G7" s="45">
        <f>COUNTIFS(국내SCHD형_분배!$A$2:$A$357,$B7,국내SCHD형_분배!$C$2:$C$357,"&gt;"&amp;EDATE($B$3,-12),국내SCHD형_분배!$C$2:$C$357,"&lt;="&amp;$B$3)</f>
        <v/>
      </c>
      <c r="H7" s="53">
        <f>SUMIFS(국내SCHD형_분배!$D$2:$D$357,국내SCHD형_분배!$A$2:$A$357,$B7,국내SCHD형_분배!$C$2:$C$357,"&gt;"&amp;EDATE($B$3,-12),국내SCHD형_분배!$C$2:$C$357,"&lt;="&amp;$B$3)</f>
        <v/>
      </c>
      <c r="I7" s="29">
        <f>SUMIFS(국내SCHD형_분배!$E$2:$E$357,국내SCHD형_분배!$A$2:$A$357,$B7,국내SCHD형_분배!$C$2:$C$357,"&gt;"&amp;EDATE($B$3,-12),국내SCHD형_분배!$C$2:$C$357,"&lt;="&amp;$B$3)</f>
        <v/>
      </c>
    </row>
    <row r="8">
      <c r="A8" s="12" t="inlineStr">
        <is>
          <t>ACE 미국배당다우존스</t>
        </is>
      </c>
      <c r="B8" s="50" t="inlineStr">
        <is>
          <t>402970</t>
        </is>
      </c>
      <c r="C8" s="51" t="n">
        <v>0.001524</v>
      </c>
      <c r="D8" s="33" t="inlineStr">
        <is>
          <t>월중(15일)</t>
        </is>
      </c>
      <c r="E8" s="52">
        <f>_xlfn.MAXIFS(국내SCHD형_분배!$C$2:$C$357,국내SCHD형_분배!$A$2:$A$357,$B8,국내SCHD형_분배!$C$2:$C$357,"&lt;="&amp;$B$3)</f>
        <v/>
      </c>
      <c r="F8" s="53">
        <f>SUMIFS(국내SCHD형_분배!$D$2:$D$357,국내SCHD형_분배!$A$2:$A$357,$B8,국내SCHD형_분배!$C$2:$C$357,E8)</f>
        <v/>
      </c>
      <c r="G8" s="45">
        <f>COUNTIFS(국내SCHD형_분배!$A$2:$A$357,$B8,국내SCHD형_분배!$C$2:$C$357,"&gt;"&amp;EDATE($B$3,-12),국내SCHD형_분배!$C$2:$C$357,"&lt;="&amp;$B$3)</f>
        <v/>
      </c>
      <c r="H8" s="53">
        <f>SUMIFS(국내SCHD형_분배!$D$2:$D$357,국내SCHD형_분배!$A$2:$A$357,$B8,국내SCHD형_분배!$C$2:$C$357,"&gt;"&amp;EDATE($B$3,-12),국내SCHD형_분배!$C$2:$C$357,"&lt;="&amp;$B$3)</f>
        <v/>
      </c>
      <c r="I8" s="29">
        <f>SUMIFS(국내SCHD형_분배!$E$2:$E$357,국내SCHD형_분배!$A$2:$A$357,$B8,국내SCHD형_분배!$C$2:$C$357,"&gt;"&amp;EDATE($B$3,-12),국내SCHD형_분배!$C$2:$C$357,"&lt;="&amp;$B$3)</f>
        <v/>
      </c>
    </row>
    <row r="9">
      <c r="A9" s="12" t="inlineStr">
        <is>
          <t>KODEX 미국배당다우존스</t>
        </is>
      </c>
      <c r="B9" s="50" t="inlineStr">
        <is>
          <t>489250</t>
        </is>
      </c>
      <c r="C9" s="51" t="n">
        <v>0.001759</v>
      </c>
      <c r="D9" s="33" t="inlineStr">
        <is>
          <t>월중(15일)</t>
        </is>
      </c>
      <c r="E9" s="52">
        <f>_xlfn.MAXIFS(국내SCHD형_분배!$C$2:$C$357,국내SCHD형_분배!$A$2:$A$357,$B9,국내SCHD형_분배!$C$2:$C$357,"&lt;="&amp;$B$3)</f>
        <v/>
      </c>
      <c r="F9" s="53">
        <f>SUMIFS(국내SCHD형_분배!$D$2:$D$357,국내SCHD형_분배!$A$2:$A$357,$B9,국내SCHD형_분배!$C$2:$C$357,E9)</f>
        <v/>
      </c>
      <c r="G9" s="45">
        <f>COUNTIFS(국내SCHD형_분배!$A$2:$A$357,$B9,국내SCHD형_분배!$C$2:$C$357,"&gt;"&amp;EDATE($B$3,-12),국내SCHD형_분배!$C$2:$C$357,"&lt;="&amp;$B$3)</f>
        <v/>
      </c>
      <c r="H9" s="53">
        <f>SUMIFS(국내SCHD형_분배!$D$2:$D$357,국내SCHD형_분배!$A$2:$A$357,$B9,국내SCHD형_분배!$C$2:$C$357,"&gt;"&amp;EDATE($B$3,-12),국내SCHD형_분배!$C$2:$C$357,"&lt;="&amp;$B$3)</f>
        <v/>
      </c>
      <c r="I9" s="29">
        <f>SUMIFS(국내SCHD형_분배!$E$2:$E$357,국내SCHD형_분배!$A$2:$A$357,$B9,국내SCHD형_분배!$C$2:$C$357,"&gt;"&amp;EDATE($B$3,-12),국내SCHD형_분배!$C$2:$C$357,"&lt;="&amp;$B$3)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2026-09-30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$357,"458730",국내SCHD형_분배!$C$2:$C$357,"&gt;="&amp;$B17,국내SCHD형_분배!$C$2:$C$357,"&lt;="&amp;$C17)=0,"",SUMIFS(국내SCHD형_분배!$D$2:$D$357,국내SCHD형_분배!$A$2:$A$357,"458730",국내SCHD형_분배!$C$2:$C$357,"&gt;="&amp;$B17,국내SCHD형_분배!$C$2:$C$357,"&lt;="&amp;$C17))</f>
        <v/>
      </c>
      <c r="E17" s="53">
        <f>IF(COUNTIFS(국내SCHD형_분배!$A$2:$A$357,"446720",국내SCHD형_분배!$C$2:$C$357,"&gt;="&amp;$B17,국내SCHD형_분배!$C$2:$C$357,"&lt;="&amp;$C17)=0,"",SUMIFS(국내SCHD형_분배!$D$2:$D$357,국내SCHD형_분배!$A$2:$A$357,"446720",국내SCHD형_분배!$C$2:$C$357,"&gt;="&amp;$B17,국내SCHD형_분배!$C$2:$C$357,"&lt;="&amp;$C17))</f>
        <v/>
      </c>
      <c r="F17" s="53">
        <f>IF(COUNTIFS(국내SCHD형_분배!$A$2:$A$357,"402970",국내SCHD형_분배!$C$2:$C$357,"&gt;="&amp;$B17,국내SCHD형_분배!$C$2:$C$357,"&lt;="&amp;$C17)=0,"",SUMIFS(국내SCHD형_분배!$D$2:$D$357,국내SCHD형_분배!$A$2:$A$357,"402970",국내SCHD형_분배!$C$2:$C$357,"&gt;="&amp;$B17,국내SCHD형_분배!$C$2:$C$357,"&lt;="&amp;$C17))</f>
        <v/>
      </c>
      <c r="G17" s="53">
        <f>IF(COUNTIFS(국내SCHD형_분배!$A$2:$A$357,"489250",국내SCHD형_분배!$C$2:$C$357,"&gt;="&amp;$B17,국내SCHD형_분배!$C$2:$C$357,"&lt;="&amp;$C17)=0,"",SUMIFS(국내SCHD형_분배!$D$2:$D$357,국내SCHD형_분배!$A$2:$A$357,"489250",국내SCHD형_분배!$C$2:$C$357,"&gt;="&amp;$B17,국내SCHD형_분배!$C$2:$C$357,"&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$357,"458730",국내SCHD형_분배!$C$2:$C$357,"&gt;="&amp;$B18,국내SCHD형_분배!$C$2:$C$357,"&lt;="&amp;$C18)=0,"",SUMIFS(국내SCHD형_분배!$D$2:$D$357,국내SCHD형_분배!$A$2:$A$357,"458730",국내SCHD형_분배!$C$2:$C$357,"&gt;="&amp;$B18,국내SCHD형_분배!$C$2:$C$357,"&lt;="&amp;$C18))</f>
        <v/>
      </c>
      <c r="E18" s="53">
        <f>IF(COUNTIFS(국내SCHD형_분배!$A$2:$A$357,"446720",국내SCHD형_분배!$C$2:$C$357,"&gt;="&amp;$B18,국내SCHD형_분배!$C$2:$C$357,"&lt;="&amp;$C18)=0,"",SUMIFS(국내SCHD형_분배!$D$2:$D$357,국내SCHD형_분배!$A$2:$A$357,"446720",국내SCHD형_분배!$C$2:$C$357,"&gt;="&amp;$B18,국내SCHD형_분배!$C$2:$C$357,"&lt;="&amp;$C18))</f>
        <v/>
      </c>
      <c r="F18" s="53">
        <f>IF(COUNTIFS(국내SCHD형_분배!$A$2:$A$357,"402970",국내SCHD형_분배!$C$2:$C$357,"&gt;="&amp;$B18,국내SCHD형_분배!$C$2:$C$357,"&lt;="&amp;$C18)=0,"",SUMIFS(국내SCHD형_분배!$D$2:$D$357,국내SCHD형_분배!$A$2:$A$357,"402970",국내SCHD형_분배!$C$2:$C$357,"&gt;="&amp;$B18,국내SCHD형_분배!$C$2:$C$357,"&lt;="&amp;$C18))</f>
        <v/>
      </c>
      <c r="G18" s="53">
        <f>IF(COUNTIFS(국내SCHD형_분배!$A$2:$A$357,"489250",국내SCHD형_분배!$C$2:$C$357,"&gt;="&amp;$B18,국내SCHD형_분배!$C$2:$C$357,"&lt;="&amp;$C18)=0,"",SUMIFS(국내SCHD형_분배!$D$2:$D$357,국내SCHD형_분배!$A$2:$A$357,"489250",국내SCHD형_분배!$C$2:$C$357,"&gt;="&amp;$B18,국내SCHD형_분배!$C$2:$C$357,"&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$357,"458730",국내SCHD형_분배!$C$2:$C$357,"&gt;="&amp;$B19,국내SCHD형_분배!$C$2:$C$357,"&lt;="&amp;$C19)=0,"",SUMIFS(국내SCHD형_분배!$D$2:$D$357,국내SCHD형_분배!$A$2:$A$357,"458730",국내SCHD형_분배!$C$2:$C$357,"&gt;="&amp;$B19,국내SCHD형_분배!$C$2:$C$357,"&lt;="&amp;$C19))</f>
        <v/>
      </c>
      <c r="E19" s="53">
        <f>IF(COUNTIFS(국내SCHD형_분배!$A$2:$A$357,"446720",국내SCHD형_분배!$C$2:$C$357,"&gt;="&amp;$B19,국내SCHD형_분배!$C$2:$C$357,"&lt;="&amp;$C19)=0,"",SUMIFS(국내SCHD형_분배!$D$2:$D$357,국내SCHD형_분배!$A$2:$A$357,"446720",국내SCHD형_분배!$C$2:$C$357,"&gt;="&amp;$B19,국내SCHD형_분배!$C$2:$C$357,"&lt;="&amp;$C19))</f>
        <v/>
      </c>
      <c r="F19" s="53">
        <f>IF(COUNTIFS(국내SCHD형_분배!$A$2:$A$357,"402970",국내SCHD형_분배!$C$2:$C$357,"&gt;="&amp;$B19,국내SCHD형_분배!$C$2:$C$357,"&lt;="&amp;$C19)=0,"",SUMIFS(국내SCHD형_분배!$D$2:$D$357,국내SCHD형_분배!$A$2:$A$357,"402970",국내SCHD형_분배!$C$2:$C$357,"&gt;="&amp;$B19,국내SCHD형_분배!$C$2:$C$357,"&lt;="&amp;$C19))</f>
        <v/>
      </c>
      <c r="G19" s="53">
        <f>IF(COUNTIFS(국내SCHD형_분배!$A$2:$A$357,"489250",국내SCHD형_분배!$C$2:$C$357,"&gt;="&amp;$B19,국내SCHD형_분배!$C$2:$C$357,"&lt;="&amp;$C19)=0,"",SUMIFS(국내SCHD형_분배!$D$2:$D$357,국내SCHD형_분배!$A$2:$A$357,"489250",국내SCHD형_분배!$C$2:$C$357,"&gt;="&amp;$B19,국내SCHD형_분배!$C$2:$C$357,"&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$357,"458730",국내SCHD형_분배!$C$2:$C$357,"&gt;="&amp;$B20,국내SCHD형_분배!$C$2:$C$357,"&lt;="&amp;$C20)=0,"",SUMIFS(국내SCHD형_분배!$D$2:$D$357,국내SCHD형_분배!$A$2:$A$357,"458730",국내SCHD형_분배!$C$2:$C$357,"&gt;="&amp;$B20,국내SCHD형_분배!$C$2:$C$357,"&lt;="&amp;$C20))</f>
        <v/>
      </c>
      <c r="E20" s="53">
        <f>IF(COUNTIFS(국내SCHD형_분배!$A$2:$A$357,"446720",국내SCHD형_분배!$C$2:$C$357,"&gt;="&amp;$B20,국내SCHD형_분배!$C$2:$C$357,"&lt;="&amp;$C20)=0,"",SUMIFS(국내SCHD형_분배!$D$2:$D$357,국내SCHD형_분배!$A$2:$A$357,"446720",국내SCHD형_분배!$C$2:$C$357,"&gt;="&amp;$B20,국내SCHD형_분배!$C$2:$C$357,"&lt;="&amp;$C20))</f>
        <v/>
      </c>
      <c r="F20" s="53">
        <f>IF(COUNTIFS(국내SCHD형_분배!$A$2:$A$357,"402970",국내SCHD형_분배!$C$2:$C$357,"&gt;="&amp;$B20,국내SCHD형_분배!$C$2:$C$357,"&lt;="&amp;$C20)=0,"",SUMIFS(국내SCHD형_분배!$D$2:$D$357,국내SCHD형_분배!$A$2:$A$357,"402970",국내SCHD형_분배!$C$2:$C$357,"&gt;="&amp;$B20,국내SCHD형_분배!$C$2:$C$357,"&lt;="&amp;$C20))</f>
        <v/>
      </c>
      <c r="G20" s="53">
        <f>IF(COUNTIFS(국내SCHD형_분배!$A$2:$A$357,"489250",국내SCHD형_분배!$C$2:$C$357,"&gt;="&amp;$B20,국내SCHD형_분배!$C$2:$C$357,"&lt;="&amp;$C20)=0,"",SUMIFS(국내SCHD형_분배!$D$2:$D$357,국내SCHD형_분배!$A$2:$A$357,"489250",국내SCHD형_분배!$C$2:$C$357,"&gt;="&amp;$B20,국내SCHD형_분배!$C$2:$C$357,"&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$357,"458730",국내SCHD형_분배!$C$2:$C$357,"&gt;="&amp;$B21,국내SCHD형_분배!$C$2:$C$357,"&lt;="&amp;$C21)=0,"",SUMIFS(국내SCHD형_분배!$D$2:$D$357,국내SCHD형_분배!$A$2:$A$357,"458730",국내SCHD형_분배!$C$2:$C$357,"&gt;="&amp;$B21,국내SCHD형_분배!$C$2:$C$357,"&lt;="&amp;$C21))</f>
        <v/>
      </c>
      <c r="E21" s="53">
        <f>IF(COUNTIFS(국내SCHD형_분배!$A$2:$A$357,"446720",국내SCHD형_분배!$C$2:$C$357,"&gt;="&amp;$B21,국내SCHD형_분배!$C$2:$C$357,"&lt;="&amp;$C21)=0,"",SUMIFS(국내SCHD형_분배!$D$2:$D$357,국내SCHD형_분배!$A$2:$A$357,"446720",국내SCHD형_분배!$C$2:$C$357,"&gt;="&amp;$B21,국내SCHD형_분배!$C$2:$C$357,"&lt;="&amp;$C21))</f>
        <v/>
      </c>
      <c r="F21" s="53">
        <f>IF(COUNTIFS(국내SCHD형_분배!$A$2:$A$357,"402970",국내SCHD형_분배!$C$2:$C$357,"&gt;="&amp;$B21,국내SCHD형_분배!$C$2:$C$357,"&lt;="&amp;$C21)=0,"",SUMIFS(국내SCHD형_분배!$D$2:$D$357,국내SCHD형_분배!$A$2:$A$357,"402970",국내SCHD형_분배!$C$2:$C$357,"&gt;="&amp;$B21,국내SCHD형_분배!$C$2:$C$357,"&lt;="&amp;$C21))</f>
        <v/>
      </c>
      <c r="G21" s="53">
        <f>IF(COUNTIFS(국내SCHD형_분배!$A$2:$A$357,"489250",국내SCHD형_분배!$C$2:$C$357,"&gt;="&amp;$B21,국내SCHD형_분배!$C$2:$C$357,"&lt;="&amp;$C21)=0,"",SUMIFS(국내SCHD형_분배!$D$2:$D$357,국내SCHD형_분배!$A$2:$A$357,"489250",국내SCHD형_분배!$C$2:$C$357,"&gt;="&amp;$B21,국내SCHD형_분배!$C$2:$C$357,"&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$357,"458730",국내SCHD형_분배!$C$2:$C$357,"&gt;="&amp;$B22,국내SCHD형_분배!$C$2:$C$357,"&lt;="&amp;$C22)=0,"",SUMIFS(국내SCHD형_분배!$D$2:$D$357,국내SCHD형_분배!$A$2:$A$357,"458730",국내SCHD형_분배!$C$2:$C$357,"&gt;="&amp;$B22,국내SCHD형_분배!$C$2:$C$357,"&lt;="&amp;$C22))</f>
        <v/>
      </c>
      <c r="E22" s="53">
        <f>IF(COUNTIFS(국내SCHD형_분배!$A$2:$A$357,"446720",국내SCHD형_분배!$C$2:$C$357,"&gt;="&amp;$B22,국내SCHD형_분배!$C$2:$C$357,"&lt;="&amp;$C22)=0,"",SUMIFS(국내SCHD형_분배!$D$2:$D$357,국내SCHD형_분배!$A$2:$A$357,"446720",국내SCHD형_분배!$C$2:$C$357,"&gt;="&amp;$B22,국내SCHD형_분배!$C$2:$C$357,"&lt;="&amp;$C22))</f>
        <v/>
      </c>
      <c r="F22" s="53">
        <f>IF(COUNTIFS(국내SCHD형_분배!$A$2:$A$357,"402970",국내SCHD형_분배!$C$2:$C$357,"&gt;="&amp;$B22,국내SCHD형_분배!$C$2:$C$357,"&lt;="&amp;$C22)=0,"",SUMIFS(국내SCHD형_분배!$D$2:$D$357,국내SCHD형_분배!$A$2:$A$357,"402970",국내SCHD형_분배!$C$2:$C$357,"&gt;="&amp;$B22,국내SCHD형_분배!$C$2:$C$357,"&lt;="&amp;$C22))</f>
        <v/>
      </c>
      <c r="G22" s="53">
        <f>IF(COUNTIFS(국내SCHD형_분배!$A$2:$A$357,"489250",국내SCHD형_분배!$C$2:$C$357,"&gt;="&amp;$B22,국내SCHD형_분배!$C$2:$C$357,"&lt;="&amp;$C22)=0,"",SUMIFS(국내SCHD형_분배!$D$2:$D$357,국내SCHD형_분배!$A$2:$A$357,"489250",국내SCHD형_분배!$C$2:$C$357,"&gt;="&amp;$B22,국내SCHD형_분배!$C$2:$C$357,"&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$357,"458730",국내SCHD형_분배!$C$2:$C$357,"&gt;="&amp;$B23,국내SCHD형_분배!$C$2:$C$357,"&lt;="&amp;$C23)=0,"",SUMIFS(국내SCHD형_분배!$D$2:$D$357,국내SCHD형_분배!$A$2:$A$357,"458730",국내SCHD형_분배!$C$2:$C$357,"&gt;="&amp;$B23,국내SCHD형_분배!$C$2:$C$357,"&lt;="&amp;$C23))</f>
        <v/>
      </c>
      <c r="E23" s="53">
        <f>IF(COUNTIFS(국내SCHD형_분배!$A$2:$A$357,"446720",국내SCHD형_분배!$C$2:$C$357,"&gt;="&amp;$B23,국내SCHD형_분배!$C$2:$C$357,"&lt;="&amp;$C23)=0,"",SUMIFS(국내SCHD형_분배!$D$2:$D$357,국내SCHD형_분배!$A$2:$A$357,"446720",국내SCHD형_분배!$C$2:$C$357,"&gt;="&amp;$B23,국내SCHD형_분배!$C$2:$C$357,"&lt;="&amp;$C23))</f>
        <v/>
      </c>
      <c r="F23" s="53">
        <f>IF(COUNTIFS(국내SCHD형_분배!$A$2:$A$357,"402970",국내SCHD형_분배!$C$2:$C$357,"&gt;="&amp;$B23,국내SCHD형_분배!$C$2:$C$357,"&lt;="&amp;$C23)=0,"",SUMIFS(국내SCHD형_분배!$D$2:$D$357,국내SCHD형_분배!$A$2:$A$357,"402970",국내SCHD형_분배!$C$2:$C$357,"&gt;="&amp;$B23,국내SCHD형_분배!$C$2:$C$357,"&lt;="&amp;$C23))</f>
        <v/>
      </c>
      <c r="G23" s="53">
        <f>IF(COUNTIFS(국내SCHD형_분배!$A$2:$A$357,"489250",국내SCHD형_분배!$C$2:$C$357,"&gt;="&amp;$B23,국내SCHD형_분배!$C$2:$C$357,"&lt;="&amp;$C23)=0,"",SUMIFS(국내SCHD형_분배!$D$2:$D$357,국내SCHD형_분배!$A$2:$A$357,"489250",국내SCHD형_분배!$C$2:$C$357,"&gt;="&amp;$B23,국내SCHD형_분배!$C$2:$C$357,"&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$357,"458730",국내SCHD형_분배!$C$2:$C$357,"&gt;="&amp;$B24,국내SCHD형_분배!$C$2:$C$357,"&lt;="&amp;$C24)=0,"",SUMIFS(국내SCHD형_분배!$D$2:$D$357,국내SCHD형_분배!$A$2:$A$357,"458730",국내SCHD형_분배!$C$2:$C$357,"&gt;="&amp;$B24,국내SCHD형_분배!$C$2:$C$357,"&lt;="&amp;$C24))</f>
        <v/>
      </c>
      <c r="E24" s="53">
        <f>IF(COUNTIFS(국내SCHD형_분배!$A$2:$A$357,"446720",국내SCHD형_분배!$C$2:$C$357,"&gt;="&amp;$B24,국내SCHD형_분배!$C$2:$C$357,"&lt;="&amp;$C24)=0,"",SUMIFS(국내SCHD형_분배!$D$2:$D$357,국내SCHD형_분배!$A$2:$A$357,"446720",국내SCHD형_분배!$C$2:$C$357,"&gt;="&amp;$B24,국내SCHD형_분배!$C$2:$C$357,"&lt;="&amp;$C24))</f>
        <v/>
      </c>
      <c r="F24" s="53">
        <f>IF(COUNTIFS(국내SCHD형_분배!$A$2:$A$357,"402970",국내SCHD형_분배!$C$2:$C$357,"&gt;="&amp;$B24,국내SCHD형_분배!$C$2:$C$357,"&lt;="&amp;$C24)=0,"",SUMIFS(국내SCHD형_분배!$D$2:$D$357,국내SCHD형_분배!$A$2:$A$357,"402970",국내SCHD형_분배!$C$2:$C$357,"&gt;="&amp;$B24,국내SCHD형_분배!$C$2:$C$357,"&lt;="&amp;$C24))</f>
        <v/>
      </c>
      <c r="G24" s="53">
        <f>IF(COUNTIFS(국내SCHD형_분배!$A$2:$A$357,"489250",국내SCHD형_분배!$C$2:$C$357,"&gt;="&amp;$B24,국내SCHD형_분배!$C$2:$C$357,"&lt;="&amp;$C24)=0,"",SUMIFS(국내SCHD형_분배!$D$2:$D$357,국내SCHD형_분배!$A$2:$A$357,"489250",국내SCHD형_분배!$C$2:$C$357,"&gt;="&amp;$B24,국내SCHD형_분배!$C$2:$C$357,"&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$357,"458730",국내SCHD형_분배!$C$2:$C$357,"&gt;="&amp;$B25,국내SCHD형_분배!$C$2:$C$357,"&lt;="&amp;$C25)=0,"",SUMIFS(국내SCHD형_분배!$D$2:$D$357,국내SCHD형_분배!$A$2:$A$357,"458730",국내SCHD형_분배!$C$2:$C$357,"&gt;="&amp;$B25,국내SCHD형_분배!$C$2:$C$357,"&lt;="&amp;$C25))</f>
        <v/>
      </c>
      <c r="E25" s="53">
        <f>IF(COUNTIFS(국내SCHD형_분배!$A$2:$A$357,"446720",국내SCHD형_분배!$C$2:$C$357,"&gt;="&amp;$B25,국내SCHD형_분배!$C$2:$C$357,"&lt;="&amp;$C25)=0,"",SUMIFS(국내SCHD형_분배!$D$2:$D$357,국내SCHD형_분배!$A$2:$A$357,"446720",국내SCHD형_분배!$C$2:$C$357,"&gt;="&amp;$B25,국내SCHD형_분배!$C$2:$C$357,"&lt;="&amp;$C25))</f>
        <v/>
      </c>
      <c r="F25" s="53">
        <f>IF(COUNTIFS(국내SCHD형_분배!$A$2:$A$357,"402970",국내SCHD형_분배!$C$2:$C$357,"&gt;="&amp;$B25,국내SCHD형_분배!$C$2:$C$357,"&lt;="&amp;$C25)=0,"",SUMIFS(국내SCHD형_분배!$D$2:$D$357,국내SCHD형_분배!$A$2:$A$357,"402970",국내SCHD형_분배!$C$2:$C$357,"&gt;="&amp;$B25,국내SCHD형_분배!$C$2:$C$357,"&lt;="&amp;$C25))</f>
        <v/>
      </c>
      <c r="G25" s="53">
        <f>IF(COUNTIFS(국내SCHD형_분배!$A$2:$A$357,"489250",국내SCHD형_분배!$C$2:$C$357,"&gt;="&amp;$B25,국내SCHD형_분배!$C$2:$C$357,"&lt;="&amp;$C25)=0,"",SUMIFS(국내SCHD형_분배!$D$2:$D$357,국내SCHD형_분배!$A$2:$A$357,"489250",국내SCHD형_분배!$C$2:$C$357,"&gt;="&amp;$B25,국내SCHD형_분배!$C$2:$C$357,"&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$357,"458730",국내SCHD형_분배!$C$2:$C$357,"&gt;="&amp;$B26,국내SCHD형_분배!$C$2:$C$357,"&lt;="&amp;$C26)=0,"",SUMIFS(국내SCHD형_분배!$D$2:$D$357,국내SCHD형_분배!$A$2:$A$357,"458730",국내SCHD형_분배!$C$2:$C$357,"&gt;="&amp;$B26,국내SCHD형_분배!$C$2:$C$357,"&lt;="&amp;$C26))</f>
        <v/>
      </c>
      <c r="E26" s="53">
        <f>IF(COUNTIFS(국내SCHD형_분배!$A$2:$A$357,"446720",국내SCHD형_분배!$C$2:$C$357,"&gt;="&amp;$B26,국내SCHD형_분배!$C$2:$C$357,"&lt;="&amp;$C26)=0,"",SUMIFS(국내SCHD형_분배!$D$2:$D$357,국내SCHD형_분배!$A$2:$A$357,"446720",국내SCHD형_분배!$C$2:$C$357,"&gt;="&amp;$B26,국내SCHD형_분배!$C$2:$C$357,"&lt;="&amp;$C26))</f>
        <v/>
      </c>
      <c r="F26" s="53">
        <f>IF(COUNTIFS(국내SCHD형_분배!$A$2:$A$357,"402970",국내SCHD형_분배!$C$2:$C$357,"&gt;="&amp;$B26,국내SCHD형_분배!$C$2:$C$357,"&lt;="&amp;$C26)=0,"",SUMIFS(국내SCHD형_분배!$D$2:$D$357,국내SCHD형_분배!$A$2:$A$357,"402970",국내SCHD형_분배!$C$2:$C$357,"&gt;="&amp;$B26,국내SCHD형_분배!$C$2:$C$357,"&lt;="&amp;$C26))</f>
        <v/>
      </c>
      <c r="G26" s="53">
        <f>IF(COUNTIFS(국내SCHD형_분배!$A$2:$A$357,"489250",국내SCHD형_분배!$C$2:$C$357,"&gt;="&amp;$B26,국내SCHD형_분배!$C$2:$C$357,"&lt;="&amp;$C26)=0,"",SUMIFS(국내SCHD형_분배!$D$2:$D$357,국내SCHD형_분배!$A$2:$A$357,"489250",국내SCHD형_분배!$C$2:$C$357,"&gt;="&amp;$B26,국내SCHD형_분배!$C$2:$C$357,"&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$357,"458730",국내SCHD형_분배!$C$2:$C$357,"&gt;="&amp;$B27,국내SCHD형_분배!$C$2:$C$357,"&lt;="&amp;$C27)=0,"",SUMIFS(국내SCHD형_분배!$D$2:$D$357,국내SCHD형_분배!$A$2:$A$357,"458730",국내SCHD형_분배!$C$2:$C$357,"&gt;="&amp;$B27,국내SCHD형_분배!$C$2:$C$357,"&lt;="&amp;$C27))</f>
        <v/>
      </c>
      <c r="E27" s="53">
        <f>IF(COUNTIFS(국내SCHD형_분배!$A$2:$A$357,"446720",국내SCHD형_분배!$C$2:$C$357,"&gt;="&amp;$B27,국내SCHD형_분배!$C$2:$C$357,"&lt;="&amp;$C27)=0,"",SUMIFS(국내SCHD형_분배!$D$2:$D$357,국내SCHD형_분배!$A$2:$A$357,"446720",국내SCHD형_분배!$C$2:$C$357,"&gt;="&amp;$B27,국내SCHD형_분배!$C$2:$C$357,"&lt;="&amp;$C27))</f>
        <v/>
      </c>
      <c r="F27" s="53">
        <f>IF(COUNTIFS(국내SCHD형_분배!$A$2:$A$357,"402970",국내SCHD형_분배!$C$2:$C$357,"&gt;="&amp;$B27,국내SCHD형_분배!$C$2:$C$357,"&lt;="&amp;$C27)=0,"",SUMIFS(국내SCHD형_분배!$D$2:$D$357,국내SCHD형_분배!$A$2:$A$357,"402970",국내SCHD형_분배!$C$2:$C$357,"&gt;="&amp;$B27,국내SCHD형_분배!$C$2:$C$357,"&lt;="&amp;$C27))</f>
        <v/>
      </c>
      <c r="G27" s="53">
        <f>IF(COUNTIFS(국내SCHD형_분배!$A$2:$A$357,"489250",국내SCHD형_분배!$C$2:$C$357,"&gt;="&amp;$B27,국내SCHD형_분배!$C$2:$C$357,"&lt;="&amp;$C27)=0,"",SUMIFS(국내SCHD형_분배!$D$2:$D$357,국내SCHD형_분배!$A$2:$A$357,"489250",국내SCHD형_분배!$C$2:$C$357,"&gt;="&amp;$B27,국내SCHD형_분배!$C$2:$C$357,"&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$357,"458730",국내SCHD형_분배!$C$2:$C$357,"&gt;="&amp;$B28,국내SCHD형_분배!$C$2:$C$357,"&lt;="&amp;$C28)=0,"",SUMIFS(국내SCHD형_분배!$D$2:$D$357,국내SCHD형_분배!$A$2:$A$357,"458730",국내SCHD형_분배!$C$2:$C$357,"&gt;="&amp;$B28,국내SCHD형_분배!$C$2:$C$357,"&lt;="&amp;$C28))</f>
        <v/>
      </c>
      <c r="E28" s="53">
        <f>IF(COUNTIFS(국내SCHD형_분배!$A$2:$A$357,"446720",국내SCHD형_분배!$C$2:$C$357,"&gt;="&amp;$B28,국내SCHD형_분배!$C$2:$C$357,"&lt;="&amp;$C28)=0,"",SUMIFS(국내SCHD형_분배!$D$2:$D$357,국내SCHD형_분배!$A$2:$A$357,"446720",국내SCHD형_분배!$C$2:$C$357,"&gt;="&amp;$B28,국내SCHD형_분배!$C$2:$C$357,"&lt;="&amp;$C28))</f>
        <v/>
      </c>
      <c r="F28" s="53">
        <f>IF(COUNTIFS(국내SCHD형_분배!$A$2:$A$357,"402970",국내SCHD형_분배!$C$2:$C$357,"&gt;="&amp;$B28,국내SCHD형_분배!$C$2:$C$357,"&lt;="&amp;$C28)=0,"",SUMIFS(국내SCHD형_분배!$D$2:$D$357,국내SCHD형_분배!$A$2:$A$357,"402970",국내SCHD형_분배!$C$2:$C$357,"&gt;="&amp;$B28,국내SCHD형_분배!$C$2:$C$357,"&lt;="&amp;$C28))</f>
        <v/>
      </c>
      <c r="G28" s="53">
        <f>IF(COUNTIFS(국내SCHD형_분배!$A$2:$A$357,"489250",국내SCHD형_분배!$C$2:$C$357,"&gt;="&amp;$B28,국내SCHD형_분배!$C$2:$C$357,"&lt;="&amp;$C28)=0,"",SUMIFS(국내SCHD형_분배!$D$2:$D$357,국내SCHD형_분배!$A$2:$A$357,"489250",국내SCHD형_분배!$C$2:$C$357,"&gt;="&amp;$B28,국내SCHD형_분배!$C$2:$C$357,"&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$357,"458730",국내SCHD형_분배!$C$2:$C$357,"&gt;="&amp;$B29,국내SCHD형_분배!$C$2:$C$357,"&lt;="&amp;$C29)=0,"",SUMIFS(국내SCHD형_분배!$D$2:$D$357,국내SCHD형_분배!$A$2:$A$357,"458730",국내SCHD형_분배!$C$2:$C$357,"&gt;="&amp;$B29,국내SCHD형_분배!$C$2:$C$357,"&lt;="&amp;$C29))</f>
        <v/>
      </c>
      <c r="E29" s="53">
        <f>IF(COUNTIFS(국내SCHD형_분배!$A$2:$A$357,"446720",국내SCHD형_분배!$C$2:$C$357,"&gt;="&amp;$B29,국내SCHD형_분배!$C$2:$C$357,"&lt;="&amp;$C29)=0,"",SUMIFS(국내SCHD형_분배!$D$2:$D$357,국내SCHD형_분배!$A$2:$A$357,"446720",국내SCHD형_분배!$C$2:$C$357,"&gt;="&amp;$B29,국내SCHD형_분배!$C$2:$C$357,"&lt;="&amp;$C29))</f>
        <v/>
      </c>
      <c r="F29" s="53">
        <f>IF(COUNTIFS(국내SCHD형_분배!$A$2:$A$357,"402970",국내SCHD형_분배!$C$2:$C$357,"&gt;="&amp;$B29,국내SCHD형_분배!$C$2:$C$357,"&lt;="&amp;$C29)=0,"",SUMIFS(국내SCHD형_분배!$D$2:$D$357,국내SCHD형_분배!$A$2:$A$357,"402970",국내SCHD형_분배!$C$2:$C$357,"&gt;="&amp;$B29,국내SCHD형_분배!$C$2:$C$357,"&lt;="&amp;$C29))</f>
        <v/>
      </c>
      <c r="G29" s="53">
        <f>IF(COUNTIFS(국내SCHD형_분배!$A$2:$A$357,"489250",국내SCHD형_분배!$C$2:$C$357,"&gt;="&amp;$B29,국내SCHD형_분배!$C$2:$C$357,"&lt;="&amp;$C29)=0,"",SUMIFS(국내SCHD형_분배!$D$2:$D$357,국내SCHD형_분배!$A$2:$A$357,"489250",국내SCHD형_분배!$C$2:$C$357,"&gt;="&amp;$B29,국내SCHD형_분배!$C$2:$C$357,"&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$357,"458730",국내SCHD형_분배!$C$2:$C$357,"&gt;="&amp;$B30,국내SCHD형_분배!$C$2:$C$357,"&lt;="&amp;$C30)=0,"",SUMIFS(국내SCHD형_분배!$D$2:$D$357,국내SCHD형_분배!$A$2:$A$357,"458730",국내SCHD형_분배!$C$2:$C$357,"&gt;="&amp;$B30,국내SCHD형_분배!$C$2:$C$357,"&lt;="&amp;$C30))</f>
        <v/>
      </c>
      <c r="E30" s="53">
        <f>IF(COUNTIFS(국내SCHD형_분배!$A$2:$A$357,"446720",국내SCHD형_분배!$C$2:$C$357,"&gt;="&amp;$B30,국내SCHD형_분배!$C$2:$C$357,"&lt;="&amp;$C30)=0,"",SUMIFS(국내SCHD형_분배!$D$2:$D$357,국내SCHD형_분배!$A$2:$A$357,"446720",국내SCHD형_분배!$C$2:$C$357,"&gt;="&amp;$B30,국내SCHD형_분배!$C$2:$C$357,"&lt;="&amp;$C30))</f>
        <v/>
      </c>
      <c r="F30" s="53">
        <f>IF(COUNTIFS(국내SCHD형_분배!$A$2:$A$357,"402970",국내SCHD형_분배!$C$2:$C$357,"&gt;="&amp;$B30,국내SCHD형_분배!$C$2:$C$357,"&lt;="&amp;$C30)=0,"",SUMIFS(국내SCHD형_분배!$D$2:$D$357,국내SCHD형_분배!$A$2:$A$357,"402970",국내SCHD형_분배!$C$2:$C$357,"&gt;="&amp;$B30,국내SCHD형_분배!$C$2:$C$357,"&lt;="&amp;$C30))</f>
        <v/>
      </c>
      <c r="G30" s="53">
        <f>IF(COUNTIFS(국내SCHD형_분배!$A$2:$A$357,"489250",국내SCHD형_분배!$C$2:$C$357,"&gt;="&amp;$B30,국내SCHD형_분배!$C$2:$C$357,"&lt;="&amp;$C30)=0,"",SUMIFS(국내SCHD형_분배!$D$2:$D$357,국내SCHD형_분배!$A$2:$A$357,"489250",국내SCHD형_분배!$C$2:$C$357,"&gt;="&amp;$B30,국내SCHD형_분배!$C$2:$C$357,"&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$357,"458730",국내SCHD형_분배!$C$2:$C$357,"&gt;="&amp;$B31,국내SCHD형_분배!$C$2:$C$357,"&lt;="&amp;$C31)=0,"",SUMIFS(국내SCHD형_분배!$D$2:$D$357,국내SCHD형_분배!$A$2:$A$357,"458730",국내SCHD형_분배!$C$2:$C$357,"&gt;="&amp;$B31,국내SCHD형_분배!$C$2:$C$357,"&lt;="&amp;$C31))</f>
        <v/>
      </c>
      <c r="E31" s="53">
        <f>IF(COUNTIFS(국내SCHD형_분배!$A$2:$A$357,"446720",국내SCHD형_분배!$C$2:$C$357,"&gt;="&amp;$B31,국내SCHD형_분배!$C$2:$C$357,"&lt;="&amp;$C31)=0,"",SUMIFS(국내SCHD형_분배!$D$2:$D$357,국내SCHD형_분배!$A$2:$A$357,"446720",국내SCHD형_분배!$C$2:$C$357,"&gt;="&amp;$B31,국내SCHD형_분배!$C$2:$C$357,"&lt;="&amp;$C31))</f>
        <v/>
      </c>
      <c r="F31" s="53">
        <f>IF(COUNTIFS(국내SCHD형_분배!$A$2:$A$357,"402970",국내SCHD형_분배!$C$2:$C$357,"&gt;="&amp;$B31,국내SCHD형_분배!$C$2:$C$357,"&lt;="&amp;$C31)=0,"",SUMIFS(국내SCHD형_분배!$D$2:$D$357,국내SCHD형_분배!$A$2:$A$357,"402970",국내SCHD형_분배!$C$2:$C$357,"&gt;="&amp;$B31,국내SCHD형_분배!$C$2:$C$357,"&lt;="&amp;$C31))</f>
        <v/>
      </c>
      <c r="G31" s="53">
        <f>IF(COUNTIFS(국내SCHD형_분배!$A$2:$A$357,"489250",국내SCHD형_분배!$C$2:$C$357,"&gt;="&amp;$B31,국내SCHD형_분배!$C$2:$C$357,"&lt;="&amp;$C31)=0,"",SUMIFS(국내SCHD형_분배!$D$2:$D$357,국내SCHD형_분배!$A$2:$A$357,"489250",국내SCHD형_분배!$C$2:$C$357,"&gt;="&amp;$B31,국내SCHD형_분배!$C$2:$C$357,"&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$357,"458730",국내SCHD형_분배!$C$2:$C$357,"&gt;="&amp;$B32,국내SCHD형_분배!$C$2:$C$357,"&lt;="&amp;$C32)=0,"",SUMIFS(국내SCHD형_분배!$D$2:$D$357,국내SCHD형_분배!$A$2:$A$357,"458730",국내SCHD형_분배!$C$2:$C$357,"&gt;="&amp;$B32,국내SCHD형_분배!$C$2:$C$357,"&lt;="&amp;$C32))</f>
        <v/>
      </c>
      <c r="E32" s="53">
        <f>IF(COUNTIFS(국내SCHD형_분배!$A$2:$A$357,"446720",국내SCHD형_분배!$C$2:$C$357,"&gt;="&amp;$B32,국내SCHD형_분배!$C$2:$C$357,"&lt;="&amp;$C32)=0,"",SUMIFS(국내SCHD형_분배!$D$2:$D$357,국내SCHD형_분배!$A$2:$A$357,"446720",국내SCHD형_분배!$C$2:$C$357,"&gt;="&amp;$B32,국내SCHD형_분배!$C$2:$C$357,"&lt;="&amp;$C32))</f>
        <v/>
      </c>
      <c r="F32" s="53">
        <f>IF(COUNTIFS(국내SCHD형_분배!$A$2:$A$357,"402970",국내SCHD형_분배!$C$2:$C$357,"&gt;="&amp;$B32,국내SCHD형_분배!$C$2:$C$357,"&lt;="&amp;$C32)=0,"",SUMIFS(국내SCHD형_분배!$D$2:$D$357,국내SCHD형_분배!$A$2:$A$357,"402970",국내SCHD형_분배!$C$2:$C$357,"&gt;="&amp;$B32,국내SCHD형_분배!$C$2:$C$357,"&lt;="&amp;$C32))</f>
        <v/>
      </c>
      <c r="G32" s="53">
        <f>IF(COUNTIFS(국내SCHD형_분배!$A$2:$A$357,"489250",국내SCHD형_분배!$C$2:$C$357,"&gt;="&amp;$B32,국내SCHD형_분배!$C$2:$C$357,"&lt;="&amp;$C32)=0,"",SUMIFS(국내SCHD형_분배!$D$2:$D$357,국내SCHD형_분배!$A$2:$A$357,"489250",국내SCHD형_분배!$C$2:$C$357,"&gt;="&amp;$B32,국내SCHD형_분배!$C$2:$C$357,"&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$357,"458730",국내SCHD형_분배!$C$2:$C$357,"&gt;="&amp;$B33,국내SCHD형_분배!$C$2:$C$357,"&lt;="&amp;$C33)=0,"",SUMIFS(국내SCHD형_분배!$D$2:$D$357,국내SCHD형_분배!$A$2:$A$357,"458730",국내SCHD형_분배!$C$2:$C$357,"&gt;="&amp;$B33,국내SCHD형_분배!$C$2:$C$357,"&lt;="&amp;$C33))</f>
        <v/>
      </c>
      <c r="E33" s="53">
        <f>IF(COUNTIFS(국내SCHD형_분배!$A$2:$A$357,"446720",국내SCHD형_분배!$C$2:$C$357,"&gt;="&amp;$B33,국내SCHD형_분배!$C$2:$C$357,"&lt;="&amp;$C33)=0,"",SUMIFS(국내SCHD형_분배!$D$2:$D$357,국내SCHD형_분배!$A$2:$A$357,"446720",국내SCHD형_분배!$C$2:$C$357,"&gt;="&amp;$B33,국내SCHD형_분배!$C$2:$C$357,"&lt;="&amp;$C33))</f>
        <v/>
      </c>
      <c r="F33" s="53">
        <f>IF(COUNTIFS(국내SCHD형_분배!$A$2:$A$357,"402970",국내SCHD형_분배!$C$2:$C$357,"&gt;="&amp;$B33,국내SCHD형_분배!$C$2:$C$357,"&lt;="&amp;$C33)=0,"",SUMIFS(국내SCHD형_분배!$D$2:$D$357,국내SCHD형_분배!$A$2:$A$357,"402970",국내SCHD형_분배!$C$2:$C$357,"&gt;="&amp;$B33,국내SCHD형_분배!$C$2:$C$357,"&lt;="&amp;$C33))</f>
        <v/>
      </c>
      <c r="G33" s="53">
        <f>IF(COUNTIFS(국내SCHD형_분배!$A$2:$A$357,"489250",국내SCHD형_분배!$C$2:$C$357,"&gt;="&amp;$B33,국내SCHD형_분배!$C$2:$C$357,"&lt;="&amp;$C33)=0,"",SUMIFS(국내SCHD형_분배!$D$2:$D$357,국내SCHD형_분배!$A$2:$A$357,"489250",국내SCHD형_분배!$C$2:$C$357,"&gt;="&amp;$B33,국내SCHD형_분배!$C$2:$C$357,"&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$357,"458730",국내SCHD형_분배!$C$2:$C$357,"&gt;="&amp;$B34,국내SCHD형_분배!$C$2:$C$357,"&lt;="&amp;$C34)=0,"",SUMIFS(국내SCHD형_분배!$D$2:$D$357,국내SCHD형_분배!$A$2:$A$357,"458730",국내SCHD형_분배!$C$2:$C$357,"&gt;="&amp;$B34,국내SCHD형_분배!$C$2:$C$357,"&lt;="&amp;$C34))</f>
        <v/>
      </c>
      <c r="E34" s="53">
        <f>IF(COUNTIFS(국내SCHD형_분배!$A$2:$A$357,"446720",국내SCHD형_분배!$C$2:$C$357,"&gt;="&amp;$B34,국내SCHD형_분배!$C$2:$C$357,"&lt;="&amp;$C34)=0,"",SUMIFS(국내SCHD형_분배!$D$2:$D$357,국내SCHD형_분배!$A$2:$A$357,"446720",국내SCHD형_분배!$C$2:$C$357,"&gt;="&amp;$B34,국내SCHD형_분배!$C$2:$C$357,"&lt;="&amp;$C34))</f>
        <v/>
      </c>
      <c r="F34" s="53">
        <f>IF(COUNTIFS(국내SCHD형_분배!$A$2:$A$357,"402970",국내SCHD형_분배!$C$2:$C$357,"&gt;="&amp;$B34,국내SCHD형_분배!$C$2:$C$357,"&lt;="&amp;$C34)=0,"",SUMIFS(국내SCHD형_분배!$D$2:$D$357,국내SCHD형_분배!$A$2:$A$357,"402970",국내SCHD형_분배!$C$2:$C$357,"&gt;="&amp;$B34,국내SCHD형_분배!$C$2:$C$357,"&lt;="&amp;$C34))</f>
        <v/>
      </c>
      <c r="G34" s="53">
        <f>IF(COUNTIFS(국내SCHD형_분배!$A$2:$A$357,"489250",국내SCHD형_분배!$C$2:$C$357,"&gt;="&amp;$B34,국내SCHD형_분배!$C$2:$C$357,"&lt;="&amp;$C34)=0,"",SUMIFS(국내SCHD형_분배!$D$2:$D$357,국내SCHD형_분배!$A$2:$A$357,"489250",국내SCHD형_분배!$C$2:$C$357,"&gt;="&amp;$B34,국내SCHD형_분배!$C$2:$C$357,"&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$357,"458730",국내SCHD형_분배!$C$2:$C$357,"&gt;="&amp;$B35,국내SCHD형_분배!$C$2:$C$357,"&lt;="&amp;$C35)=0,"",SUMIFS(국내SCHD형_분배!$D$2:$D$357,국내SCHD형_분배!$A$2:$A$357,"458730",국내SCHD형_분배!$C$2:$C$357,"&gt;="&amp;$B35,국내SCHD형_분배!$C$2:$C$357,"&lt;="&amp;$C35))</f>
        <v/>
      </c>
      <c r="E35" s="53">
        <f>IF(COUNTIFS(국내SCHD형_분배!$A$2:$A$357,"446720",국내SCHD형_분배!$C$2:$C$357,"&gt;="&amp;$B35,국내SCHD형_분배!$C$2:$C$357,"&lt;="&amp;$C35)=0,"",SUMIFS(국내SCHD형_분배!$D$2:$D$357,국내SCHD형_분배!$A$2:$A$357,"446720",국내SCHD형_분배!$C$2:$C$357,"&gt;="&amp;$B35,국내SCHD형_분배!$C$2:$C$357,"&lt;="&amp;$C35))</f>
        <v/>
      </c>
      <c r="F35" s="53">
        <f>IF(COUNTIFS(국내SCHD형_분배!$A$2:$A$357,"402970",국내SCHD형_분배!$C$2:$C$357,"&gt;="&amp;$B35,국내SCHD형_분배!$C$2:$C$357,"&lt;="&amp;$C35)=0,"",SUMIFS(국내SCHD형_분배!$D$2:$D$357,국내SCHD형_분배!$A$2:$A$357,"402970",국내SCHD형_분배!$C$2:$C$357,"&gt;="&amp;$B35,국내SCHD형_분배!$C$2:$C$357,"&lt;="&amp;$C35))</f>
        <v/>
      </c>
      <c r="G35" s="53">
        <f>IF(COUNTIFS(국내SCHD형_분배!$A$2:$A$357,"489250",국내SCHD형_분배!$C$2:$C$357,"&gt;="&amp;$B35,국내SCHD형_분배!$C$2:$C$357,"&lt;="&amp;$C35)=0,"",SUMIFS(국내SCHD형_분배!$D$2:$D$357,국내SCHD형_분배!$A$2:$A$357,"489250",국내SCHD형_분배!$C$2:$C$357,"&gt;="&amp;$B35,국내SCHD형_분배!$C$2:$C$357,"&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$357,"458730",국내SCHD형_분배!$C$2:$C$357,"&gt;="&amp;$B36,국내SCHD형_분배!$C$2:$C$357,"&lt;="&amp;$C36)=0,"",SUMIFS(국내SCHD형_분배!$D$2:$D$357,국내SCHD형_분배!$A$2:$A$357,"458730",국내SCHD형_분배!$C$2:$C$357,"&gt;="&amp;$B36,국내SCHD형_분배!$C$2:$C$357,"&lt;="&amp;$C36))</f>
        <v/>
      </c>
      <c r="E36" s="53">
        <f>IF(COUNTIFS(국내SCHD형_분배!$A$2:$A$357,"446720",국내SCHD형_분배!$C$2:$C$357,"&gt;="&amp;$B36,국내SCHD형_분배!$C$2:$C$357,"&lt;="&amp;$C36)=0,"",SUMIFS(국내SCHD형_분배!$D$2:$D$357,국내SCHD형_분배!$A$2:$A$357,"446720",국내SCHD형_분배!$C$2:$C$357,"&gt;="&amp;$B36,국내SCHD형_분배!$C$2:$C$357,"&lt;="&amp;$C36))</f>
        <v/>
      </c>
      <c r="F36" s="53">
        <f>IF(COUNTIFS(국내SCHD형_분배!$A$2:$A$357,"402970",국내SCHD형_분배!$C$2:$C$357,"&gt;="&amp;$B36,국내SCHD형_분배!$C$2:$C$357,"&lt;="&amp;$C36)=0,"",SUMIFS(국내SCHD형_분배!$D$2:$D$357,국내SCHD형_분배!$A$2:$A$357,"402970",국내SCHD형_분배!$C$2:$C$357,"&gt;="&amp;$B36,국내SCHD형_분배!$C$2:$C$357,"&lt;="&amp;$C36))</f>
        <v/>
      </c>
      <c r="G36" s="53">
        <f>IF(COUNTIFS(국내SCHD형_분배!$A$2:$A$357,"489250",국내SCHD형_분배!$C$2:$C$357,"&gt;="&amp;$B36,국내SCHD형_분배!$C$2:$C$357,"&lt;="&amp;$C36)=0,"",SUMIFS(국내SCHD형_분배!$D$2:$D$357,국내SCHD형_분배!$A$2:$A$357,"489250",국내SCHD형_분배!$C$2:$C$357,"&gt;="&amp;$B36,국내SCHD형_분배!$C$2:$C$357,"&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$357,"458730",국내SCHD형_분배!$C$2:$C$357,"&gt;="&amp;$B37,국내SCHD형_분배!$C$2:$C$357,"&lt;="&amp;$C37)=0,"",SUMIFS(국내SCHD형_분배!$D$2:$D$357,국내SCHD형_분배!$A$2:$A$357,"458730",국내SCHD형_분배!$C$2:$C$357,"&gt;="&amp;$B37,국내SCHD형_분배!$C$2:$C$357,"&lt;="&amp;$C37))</f>
        <v/>
      </c>
      <c r="E37" s="53">
        <f>IF(COUNTIFS(국내SCHD형_분배!$A$2:$A$357,"446720",국내SCHD형_분배!$C$2:$C$357,"&gt;="&amp;$B37,국내SCHD형_분배!$C$2:$C$357,"&lt;="&amp;$C37)=0,"",SUMIFS(국내SCHD형_분배!$D$2:$D$357,국내SCHD형_분배!$A$2:$A$357,"446720",국내SCHD형_분배!$C$2:$C$357,"&gt;="&amp;$B37,국내SCHD형_분배!$C$2:$C$357,"&lt;="&amp;$C37))</f>
        <v/>
      </c>
      <c r="F37" s="53">
        <f>IF(COUNTIFS(국내SCHD형_분배!$A$2:$A$357,"402970",국내SCHD형_분배!$C$2:$C$357,"&gt;="&amp;$B37,국내SCHD형_분배!$C$2:$C$357,"&lt;="&amp;$C37)=0,"",SUMIFS(국내SCHD형_분배!$D$2:$D$357,국내SCHD형_분배!$A$2:$A$357,"402970",국내SCHD형_분배!$C$2:$C$357,"&gt;="&amp;$B37,국내SCHD형_분배!$C$2:$C$357,"&lt;="&amp;$C37))</f>
        <v/>
      </c>
      <c r="G37" s="53">
        <f>IF(COUNTIFS(국내SCHD형_분배!$A$2:$A$357,"489250",국내SCHD형_분배!$C$2:$C$357,"&gt;="&amp;$B37,국내SCHD형_분배!$C$2:$C$357,"&lt;="&amp;$C37)=0,"",SUMIFS(국내SCHD형_분배!$D$2:$D$357,국내SCHD형_분배!$A$2:$A$357,"489250",국내SCHD형_분배!$C$2:$C$357,"&gt;="&amp;$B37,국내SCHD형_분배!$C$2:$C$357,"&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$357,"458730",국내SCHD형_분배!$C$2:$C$357,"&gt;="&amp;$B38,국내SCHD형_분배!$C$2:$C$357,"&lt;="&amp;$C38)=0,"",SUMIFS(국내SCHD형_분배!$D$2:$D$357,국내SCHD형_분배!$A$2:$A$357,"458730",국내SCHD형_분배!$C$2:$C$357,"&gt;="&amp;$B38,국내SCHD형_분배!$C$2:$C$357,"&lt;="&amp;$C38))</f>
        <v/>
      </c>
      <c r="E38" s="53">
        <f>IF(COUNTIFS(국내SCHD형_분배!$A$2:$A$357,"446720",국내SCHD형_분배!$C$2:$C$357,"&gt;="&amp;$B38,국내SCHD형_분배!$C$2:$C$357,"&lt;="&amp;$C38)=0,"",SUMIFS(국내SCHD형_분배!$D$2:$D$357,국내SCHD형_분배!$A$2:$A$357,"446720",국내SCHD형_분배!$C$2:$C$357,"&gt;="&amp;$B38,국내SCHD형_분배!$C$2:$C$357,"&lt;="&amp;$C38))</f>
        <v/>
      </c>
      <c r="F38" s="53">
        <f>IF(COUNTIFS(국내SCHD형_분배!$A$2:$A$357,"402970",국내SCHD형_분배!$C$2:$C$357,"&gt;="&amp;$B38,국내SCHD형_분배!$C$2:$C$357,"&lt;="&amp;$C38)=0,"",SUMIFS(국내SCHD형_분배!$D$2:$D$357,국내SCHD형_분배!$A$2:$A$357,"402970",국내SCHD형_분배!$C$2:$C$357,"&gt;="&amp;$B38,국내SCHD형_분배!$C$2:$C$357,"&lt;="&amp;$C38))</f>
        <v/>
      </c>
      <c r="G38" s="53">
        <f>IF(COUNTIFS(국내SCHD형_분배!$A$2:$A$357,"489250",국내SCHD형_분배!$C$2:$C$357,"&gt;="&amp;$B38,국내SCHD형_분배!$C$2:$C$357,"&lt;="&amp;$C38)=0,"",SUMIFS(국내SCHD형_분배!$D$2:$D$357,국내SCHD형_분배!$A$2:$A$357,"489250",국내SCHD형_분배!$C$2:$C$357,"&gt;="&amp;$B38,국내SCHD형_분배!$C$2:$C$357,"&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$357,"458730",국내SCHD형_분배!$C$2:$C$357,"&gt;="&amp;$B39,국내SCHD형_분배!$C$2:$C$357,"&lt;="&amp;$C39)=0,"",SUMIFS(국내SCHD형_분배!$D$2:$D$357,국내SCHD형_분배!$A$2:$A$357,"458730",국내SCHD형_분배!$C$2:$C$357,"&gt;="&amp;$B39,국내SCHD형_분배!$C$2:$C$357,"&lt;="&amp;$C39))</f>
        <v/>
      </c>
      <c r="E39" s="53">
        <f>IF(COUNTIFS(국내SCHD형_분배!$A$2:$A$357,"446720",국내SCHD형_분배!$C$2:$C$357,"&gt;="&amp;$B39,국내SCHD형_분배!$C$2:$C$357,"&lt;="&amp;$C39)=0,"",SUMIFS(국내SCHD형_분배!$D$2:$D$357,국내SCHD형_분배!$A$2:$A$357,"446720",국내SCHD형_분배!$C$2:$C$357,"&gt;="&amp;$B39,국내SCHD형_분배!$C$2:$C$357,"&lt;="&amp;$C39))</f>
        <v/>
      </c>
      <c r="F39" s="53">
        <f>IF(COUNTIFS(국내SCHD형_분배!$A$2:$A$357,"402970",국내SCHD형_분배!$C$2:$C$357,"&gt;="&amp;$B39,국내SCHD형_분배!$C$2:$C$357,"&lt;="&amp;$C39)=0,"",SUMIFS(국내SCHD형_분배!$D$2:$D$357,국내SCHD형_분배!$A$2:$A$357,"402970",국내SCHD형_분배!$C$2:$C$357,"&gt;="&amp;$B39,국내SCHD형_분배!$C$2:$C$357,"&lt;="&amp;$C39))</f>
        <v/>
      </c>
      <c r="G39" s="53">
        <f>IF(COUNTIFS(국내SCHD형_분배!$A$2:$A$357,"489250",국내SCHD형_분배!$C$2:$C$357,"&gt;="&amp;$B39,국내SCHD형_분배!$C$2:$C$357,"&lt;="&amp;$C39)=0,"",SUMIFS(국내SCHD형_분배!$D$2:$D$357,국내SCHD형_분배!$A$2:$A$357,"489250",국내SCHD형_분배!$C$2:$C$357,"&gt;="&amp;$B39,국내SCHD형_분배!$C$2:$C$357,"&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$357,"458730",국내SCHD형_분배!$C$2:$C$357,"&gt;="&amp;$B40,국내SCHD형_분배!$C$2:$C$357,"&lt;="&amp;$C40)=0,"",SUMIFS(국내SCHD형_분배!$D$2:$D$357,국내SCHD형_분배!$A$2:$A$357,"458730",국내SCHD형_분배!$C$2:$C$357,"&gt;="&amp;$B40,국내SCHD형_분배!$C$2:$C$357,"&lt;="&amp;$C40))</f>
        <v/>
      </c>
      <c r="E40" s="53">
        <f>IF(COUNTIFS(국내SCHD형_분배!$A$2:$A$357,"446720",국내SCHD형_분배!$C$2:$C$357,"&gt;="&amp;$B40,국내SCHD형_분배!$C$2:$C$357,"&lt;="&amp;$C40)=0,"",SUMIFS(국내SCHD형_분배!$D$2:$D$357,국내SCHD형_분배!$A$2:$A$357,"446720",국내SCHD형_분배!$C$2:$C$357,"&gt;="&amp;$B40,국내SCHD형_분배!$C$2:$C$357,"&lt;="&amp;$C40))</f>
        <v/>
      </c>
      <c r="F40" s="53">
        <f>IF(COUNTIFS(국내SCHD형_분배!$A$2:$A$357,"402970",국내SCHD형_분배!$C$2:$C$357,"&gt;="&amp;$B40,국내SCHD형_분배!$C$2:$C$357,"&lt;="&amp;$C40)=0,"",SUMIFS(국내SCHD형_분배!$D$2:$D$357,국내SCHD형_분배!$A$2:$A$357,"402970",국내SCHD형_분배!$C$2:$C$357,"&gt;="&amp;$B40,국내SCHD형_분배!$C$2:$C$357,"&lt;="&amp;$C40))</f>
        <v/>
      </c>
      <c r="G40" s="53">
        <f>IF(COUNTIFS(국내SCHD형_분배!$A$2:$A$357,"489250",국내SCHD형_분배!$C$2:$C$357,"&gt;="&amp;$B40,국내SCHD형_분배!$C$2:$C$357,"&lt;="&amp;$C40)=0,"",SUMIFS(국내SCHD형_분배!$D$2:$D$357,국내SCHD형_분배!$A$2:$A$357,"489250",국내SCHD형_분배!$C$2:$C$357,"&gt;="&amp;$B40,국내SCHD형_분배!$C$2:$C$357,"&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$357,"458730",국내SCHD형_분배!$C$2:$C$357,"&gt;="&amp;$B41,국내SCHD형_분배!$C$2:$C$357,"&lt;="&amp;$C41)=0,"",SUMIFS(국내SCHD형_분배!$D$2:$D$357,국내SCHD형_분배!$A$2:$A$357,"458730",국내SCHD형_분배!$C$2:$C$357,"&gt;="&amp;$B41,국내SCHD형_분배!$C$2:$C$357,"&lt;="&amp;$C41))</f>
        <v/>
      </c>
      <c r="E41" s="53">
        <f>IF(COUNTIFS(국내SCHD형_분배!$A$2:$A$357,"446720",국내SCHD형_분배!$C$2:$C$357,"&gt;="&amp;$B41,국내SCHD형_분배!$C$2:$C$357,"&lt;="&amp;$C41)=0,"",SUMIFS(국내SCHD형_분배!$D$2:$D$357,국내SCHD형_분배!$A$2:$A$357,"446720",국내SCHD형_분배!$C$2:$C$357,"&gt;="&amp;$B41,국내SCHD형_분배!$C$2:$C$357,"&lt;="&amp;$C41))</f>
        <v/>
      </c>
      <c r="F41" s="53">
        <f>IF(COUNTIFS(국내SCHD형_분배!$A$2:$A$357,"402970",국내SCHD형_분배!$C$2:$C$357,"&gt;="&amp;$B41,국내SCHD형_분배!$C$2:$C$357,"&lt;="&amp;$C41)=0,"",SUMIFS(국내SCHD형_분배!$D$2:$D$357,국내SCHD형_분배!$A$2:$A$357,"402970",국내SCHD형_분배!$C$2:$C$357,"&gt;="&amp;$B41,국내SCHD형_분배!$C$2:$C$357,"&lt;="&amp;$C41))</f>
        <v/>
      </c>
      <c r="G41" s="53">
        <f>IF(COUNTIFS(국내SCHD형_분배!$A$2:$A$357,"489250",국내SCHD형_분배!$C$2:$C$357,"&gt;="&amp;$B41,국내SCHD형_분배!$C$2:$C$357,"&lt;="&amp;$C41)=0,"",SUMIFS(국내SCHD형_분배!$D$2:$D$357,국내SCHD형_분배!$A$2:$A$357,"489250",국내SCHD형_분배!$C$2:$C$357,"&gt;="&amp;$B41,국내SCHD형_분배!$C$2:$C$357,"&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$357,"458730",국내SCHD형_분배!$C$2:$C$357,"&gt;="&amp;$B42,국내SCHD형_분배!$C$2:$C$357,"&lt;="&amp;$C42)=0,"",SUMIFS(국내SCHD형_분배!$D$2:$D$357,국내SCHD형_분배!$A$2:$A$357,"458730",국내SCHD형_분배!$C$2:$C$357,"&gt;="&amp;$B42,국내SCHD형_분배!$C$2:$C$357,"&lt;="&amp;$C42))</f>
        <v/>
      </c>
      <c r="E42" s="53">
        <f>IF(COUNTIFS(국내SCHD형_분배!$A$2:$A$357,"446720",국내SCHD형_분배!$C$2:$C$357,"&gt;="&amp;$B42,국내SCHD형_분배!$C$2:$C$357,"&lt;="&amp;$C42)=0,"",SUMIFS(국내SCHD형_분배!$D$2:$D$357,국내SCHD형_분배!$A$2:$A$357,"446720",국내SCHD형_분배!$C$2:$C$357,"&gt;="&amp;$B42,국내SCHD형_분배!$C$2:$C$357,"&lt;="&amp;$C42))</f>
        <v/>
      </c>
      <c r="F42" s="53">
        <f>IF(COUNTIFS(국내SCHD형_분배!$A$2:$A$357,"402970",국내SCHD형_분배!$C$2:$C$357,"&gt;="&amp;$B42,국내SCHD형_분배!$C$2:$C$357,"&lt;="&amp;$C42)=0,"",SUMIFS(국내SCHD형_분배!$D$2:$D$357,국내SCHD형_분배!$A$2:$A$357,"402970",국내SCHD형_분배!$C$2:$C$357,"&gt;="&amp;$B42,국내SCHD형_분배!$C$2:$C$357,"&lt;="&amp;$C42))</f>
        <v/>
      </c>
      <c r="G42" s="53">
        <f>IF(COUNTIFS(국내SCHD형_분배!$A$2:$A$357,"489250",국내SCHD형_분배!$C$2:$C$357,"&gt;="&amp;$B42,국내SCHD형_분배!$C$2:$C$357,"&lt;="&amp;$C42)=0,"",SUMIFS(국내SCHD형_분배!$D$2:$D$357,국내SCHD형_분배!$A$2:$A$357,"489250",국내SCHD형_분배!$C$2:$C$357,"&gt;="&amp;$B42,국내SCHD형_분배!$C$2:$C$357,"&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$357,"458730",국내SCHD형_분배!$C$2:$C$357,"&gt;="&amp;$B43,국내SCHD형_분배!$C$2:$C$357,"&lt;="&amp;$C43)=0,"",SUMIFS(국내SCHD형_분배!$D$2:$D$357,국내SCHD형_분배!$A$2:$A$357,"458730",국내SCHD형_분배!$C$2:$C$357,"&gt;="&amp;$B43,국내SCHD형_분배!$C$2:$C$357,"&lt;="&amp;$C43))</f>
        <v/>
      </c>
      <c r="E43" s="53">
        <f>IF(COUNTIFS(국내SCHD형_분배!$A$2:$A$357,"446720",국내SCHD형_분배!$C$2:$C$357,"&gt;="&amp;$B43,국내SCHD형_분배!$C$2:$C$357,"&lt;="&amp;$C43)=0,"",SUMIFS(국내SCHD형_분배!$D$2:$D$357,국내SCHD형_분배!$A$2:$A$357,"446720",국내SCHD형_분배!$C$2:$C$357,"&gt;="&amp;$B43,국내SCHD형_분배!$C$2:$C$357,"&lt;="&amp;$C43))</f>
        <v/>
      </c>
      <c r="F43" s="53">
        <f>IF(COUNTIFS(국내SCHD형_분배!$A$2:$A$357,"402970",국내SCHD형_분배!$C$2:$C$357,"&gt;="&amp;$B43,국내SCHD형_분배!$C$2:$C$357,"&lt;="&amp;$C43)=0,"",SUMIFS(국내SCHD형_분배!$D$2:$D$357,국내SCHD형_분배!$A$2:$A$357,"402970",국내SCHD형_분배!$C$2:$C$357,"&gt;="&amp;$B43,국내SCHD형_분배!$C$2:$C$357,"&lt;="&amp;$C43))</f>
        <v/>
      </c>
      <c r="G43" s="53">
        <f>IF(COUNTIFS(국내SCHD형_분배!$A$2:$A$357,"489250",국내SCHD형_분배!$C$2:$C$357,"&gt;="&amp;$B43,국내SCHD형_분배!$C$2:$C$357,"&lt;="&amp;$C43)=0,"",SUMIFS(국내SCHD형_분배!$D$2:$D$357,국내SCHD형_분배!$A$2:$A$357,"489250",국내SCHD형_분배!$C$2:$C$357,"&gt;="&amp;$B43,국내SCHD형_분배!$C$2:$C$357,"&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$357,"458730",국내SCHD형_분배!$C$2:$C$357,"&gt;="&amp;$B44,국내SCHD형_분배!$C$2:$C$357,"&lt;="&amp;$C44)=0,"",SUMIFS(국내SCHD형_분배!$D$2:$D$357,국내SCHD형_분배!$A$2:$A$357,"458730",국내SCHD형_분배!$C$2:$C$357,"&gt;="&amp;$B44,국내SCHD형_분배!$C$2:$C$357,"&lt;="&amp;$C44))</f>
        <v/>
      </c>
      <c r="E44" s="53">
        <f>IF(COUNTIFS(국내SCHD형_분배!$A$2:$A$357,"446720",국내SCHD형_분배!$C$2:$C$357,"&gt;="&amp;$B44,국내SCHD형_분배!$C$2:$C$357,"&lt;="&amp;$C44)=0,"",SUMIFS(국내SCHD형_분배!$D$2:$D$357,국내SCHD형_분배!$A$2:$A$357,"446720",국내SCHD형_분배!$C$2:$C$357,"&gt;="&amp;$B44,국내SCHD형_분배!$C$2:$C$357,"&lt;="&amp;$C44))</f>
        <v/>
      </c>
      <c r="F44" s="53">
        <f>IF(COUNTIFS(국내SCHD형_분배!$A$2:$A$357,"402970",국내SCHD형_분배!$C$2:$C$357,"&gt;="&amp;$B44,국내SCHD형_분배!$C$2:$C$357,"&lt;="&amp;$C44)=0,"",SUMIFS(국내SCHD형_분배!$D$2:$D$357,국내SCHD형_분배!$A$2:$A$357,"402970",국내SCHD형_분배!$C$2:$C$357,"&gt;="&amp;$B44,국내SCHD형_분배!$C$2:$C$357,"&lt;="&amp;$C44))</f>
        <v/>
      </c>
      <c r="G44" s="53">
        <f>IF(COUNTIFS(국내SCHD형_분배!$A$2:$A$357,"489250",국내SCHD형_분배!$C$2:$C$357,"&gt;="&amp;$B44,국내SCHD형_분배!$C$2:$C$357,"&lt;="&amp;$C44)=0,"",SUMIFS(국내SCHD형_분배!$D$2:$D$357,국내SCHD형_분배!$A$2:$A$357,"489250",국내SCHD형_분배!$C$2:$C$357,"&gt;="&amp;$B44,국내SCHD형_분배!$C$2:$C$357,"&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46318</v>
      </c>
      <c r="C2" s="2" t="inlineStr">
        <is>
          <t>← 이 날 종가로 계산한 비중. 그날 공식 파일을 못 받아 Schwab 공식 보유종목 CSV(2026-10-22)의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0.04408678</v>
      </c>
      <c r="J5" s="6" t="inlineStr">
        <is>
          <t>TEXAS INSTRUMENT</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CVX</t>
        </is>
      </c>
      <c r="I6" s="61" t="n">
        <v>0.04345056999999999</v>
      </c>
      <c r="J6" s="6" t="inlineStr">
        <is>
          <t>CHEVRON</t>
        </is>
      </c>
      <c r="K6" s="6" t="inlineStr">
        <is>
          <t>Energy</t>
        </is>
      </c>
      <c r="L6" s="6" t="inlineStr">
        <is>
          <t>셰브론</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COP</t>
        </is>
      </c>
      <c r="I7" s="61" t="n">
        <v>0.04331401999999999</v>
      </c>
      <c r="J7" s="6" t="inlineStr">
        <is>
          <t>CONOCOPHILLIPS</t>
        </is>
      </c>
      <c r="K7" s="6" t="inlineStr">
        <is>
          <t>Energy</t>
        </is>
      </c>
      <c r="L7" s="6" t="inlineStr">
        <is>
          <t>코노코필립스</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PG</t>
        </is>
      </c>
      <c r="I8" s="61" t="n">
        <v>0.04303422</v>
      </c>
      <c r="J8" s="6" t="inlineStr">
        <is>
          <t>PROCTER &amp; GAMBLE</t>
        </is>
      </c>
      <c r="K8" s="6" t="inlineStr">
        <is>
          <t>Consumer Staples</t>
        </is>
      </c>
      <c r="L8" s="6" t="inlineStr">
        <is>
          <t>프록터앤드갬블</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KO</t>
        </is>
      </c>
      <c r="I9" s="61" t="n">
        <v>0.04145703</v>
      </c>
      <c r="J9" s="6" t="inlineStr">
        <is>
          <t>COCA-COLA</t>
        </is>
      </c>
      <c r="K9" s="6" t="inlineStr">
        <is>
          <t>Consumer Staples</t>
        </is>
      </c>
      <c r="L9" s="6" t="inlineStr">
        <is>
          <t>코카콜라</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UNH</t>
        </is>
      </c>
      <c r="I10" s="61" t="n">
        <v>0.04127694</v>
      </c>
      <c r="J10" s="6" t="inlineStr">
        <is>
          <t>UNITEDHEALTH GROUP</t>
        </is>
      </c>
      <c r="K10" s="6" t="inlineStr">
        <is>
          <t>Health Care</t>
        </is>
      </c>
      <c r="L10" s="6" t="inlineStr">
        <is>
          <t>유나이티드헬스</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QCOM</t>
        </is>
      </c>
      <c r="I11" s="61" t="n">
        <v>0.04083957</v>
      </c>
      <c r="J11" s="6" t="inlineStr">
        <is>
          <t>QUALCOMM</t>
        </is>
      </c>
      <c r="K11" s="6" t="inlineStr">
        <is>
          <t>Information Technology</t>
        </is>
      </c>
      <c r="L11" s="6" t="inlineStr">
        <is>
          <t>퀄컴</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HD</t>
        </is>
      </c>
      <c r="I12" s="61" t="n">
        <v>0.03962082</v>
      </c>
      <c r="J12" s="6" t="inlineStr">
        <is>
          <t>HOME DEPOT</t>
        </is>
      </c>
      <c r="K12" s="6" t="inlineStr">
        <is>
          <t>Consumer Discretionary</t>
        </is>
      </c>
      <c r="L12" s="6" t="inlineStr">
        <is>
          <t>홈디포</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AMGN</t>
        </is>
      </c>
      <c r="I13" s="61" t="n">
        <v>0.03913819</v>
      </c>
      <c r="J13" s="6" t="inlineStr">
        <is>
          <t>AMGEN INC</t>
        </is>
      </c>
      <c r="K13" s="6" t="inlineStr">
        <is>
          <t>Health Care</t>
        </is>
      </c>
      <c r="L13" s="6" t="inlineStr">
        <is>
          <t>암젠</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PEP</t>
        </is>
      </c>
      <c r="I14" s="61" t="n">
        <v>0.03812414</v>
      </c>
      <c r="J14" s="6" t="inlineStr">
        <is>
          <t>PEPSICO</t>
        </is>
      </c>
      <c r="K14" s="6" t="inlineStr">
        <is>
          <t>Consumer Staples</t>
        </is>
      </c>
      <c r="L14" s="6" t="inlineStr">
        <is>
          <t>펩시코</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MRK</t>
        </is>
      </c>
      <c r="I15" s="61" t="n">
        <v>0.0378005</v>
      </c>
      <c r="J15" s="6" t="inlineStr">
        <is>
          <t>MERCK &amp; CO INC</t>
        </is>
      </c>
      <c r="K15" s="6" t="inlineStr">
        <is>
          <t>Health Care</t>
        </is>
      </c>
      <c r="L15" s="6" t="inlineStr">
        <is>
          <t>머크</t>
        </is>
      </c>
      <c r="M15" s="7">
        <f>IF(H15="","",IFERROR(VLOOKUP(K15,$P$5:$Q$15,2,FALSE),"현금·선물"))</f>
        <v/>
      </c>
      <c r="P15" s="2" t="inlineStr">
        <is>
          <t>Materials</t>
        </is>
      </c>
      <c r="Q15" s="2" t="inlineStr">
        <is>
          <t>소재</t>
        </is>
      </c>
    </row>
    <row r="16">
      <c r="C16" s="3" t="inlineStr">
        <is>
          <t>합계</t>
        </is>
      </c>
      <c r="E16" s="63">
        <f>SUM(E5:E15)</f>
        <v/>
      </c>
      <c r="H16" s="6" t="inlineStr">
        <is>
          <t>ABT</t>
        </is>
      </c>
      <c r="I16" s="61" t="n">
        <v>0.0370401</v>
      </c>
      <c r="J16" s="6" t="inlineStr">
        <is>
          <t>ABBOTT LABORATORIES</t>
        </is>
      </c>
      <c r="K16" s="6" t="inlineStr">
        <is>
          <t>Health Care</t>
        </is>
      </c>
      <c r="L16" s="6" t="inlineStr">
        <is>
          <t>애보트</t>
        </is>
      </c>
      <c r="M16" s="7">
        <f>IF(H16="","",IFERROR(VLOOKUP(K16,$P$5:$Q$15,2,FALSE),"현금·선물"))</f>
        <v/>
      </c>
    </row>
    <row r="17">
      <c r="C17" s="4" t="inlineStr">
        <is>
          <t>TOP10 합계</t>
        </is>
      </c>
      <c r="E17" s="62">
        <f>SUM(E5:E14)</f>
        <v/>
      </c>
      <c r="H17" s="6" t="inlineStr">
        <is>
          <t>ACN</t>
        </is>
      </c>
      <c r="I17" s="61" t="n">
        <v>0.03648506</v>
      </c>
      <c r="J17" s="6" t="inlineStr">
        <is>
          <t>ACCENTURE PLC CLASS A</t>
        </is>
      </c>
      <c r="K17" s="6" t="inlineStr">
        <is>
          <t>Information Technology</t>
        </is>
      </c>
      <c r="L17" s="6" t="inlineStr">
        <is>
          <t>액센츄어</t>
        </is>
      </c>
      <c r="M17" s="7">
        <f>IF(H17="","",IFERROR(VLOOKUP(K17,$P$5:$Q$15,2,FALSE),"현금·선물"))</f>
        <v/>
      </c>
    </row>
    <row r="18">
      <c r="C18" s="4" t="inlineStr">
        <is>
          <t>보유 종목 수(현금·선물 제외)</t>
        </is>
      </c>
      <c r="E18" s="64">
        <f>SUMPRODUCT(($H$5:$H$166&lt;&gt;"")*($M$5:$M$166&lt;&gt;"현금·선물"))</f>
        <v/>
      </c>
      <c r="H18" s="6" t="inlineStr">
        <is>
          <t>VZ</t>
        </is>
      </c>
      <c r="I18" s="61" t="n">
        <v>0.03508982</v>
      </c>
      <c r="J18" s="6" t="inlineStr">
        <is>
          <t>VERIZON COMMUNICATIONS INC</t>
        </is>
      </c>
      <c r="K18" s="6" t="inlineStr">
        <is>
          <t>Communication Services</t>
        </is>
      </c>
      <c r="L18" s="6" t="inlineStr">
        <is>
          <t>버라이즌</t>
        </is>
      </c>
      <c r="M18" s="7">
        <f>IF(H18="","",IFERROR(VLOOKUP(K18,$P$5:$Q$15,2,FALSE),"현금·선물"))</f>
        <v/>
      </c>
    </row>
    <row r="19">
      <c r="H19" s="6" t="inlineStr">
        <is>
          <t>BMY</t>
        </is>
      </c>
      <c r="I19" s="61" t="n">
        <v>0.03002656</v>
      </c>
      <c r="J19" s="6" t="inlineStr">
        <is>
          <t>BRISTOL MYERS SQUIBB</t>
        </is>
      </c>
      <c r="K19" s="6" t="inlineStr">
        <is>
          <t>Health Care</t>
        </is>
      </c>
      <c r="L19" s="6" t="inlineStr">
        <is>
          <t>브리스톨마이어스스퀴브</t>
        </is>
      </c>
      <c r="M19" s="7">
        <f>IF(H19="","",IFERROR(VLOOKUP(K19,$P$5:$Q$15,2,FALSE),"현금·선물"))</f>
        <v/>
      </c>
    </row>
    <row r="20">
      <c r="A20" s="3" t="inlineStr">
        <is>
          <t>섹터 비중</t>
        </is>
      </c>
      <c r="H20" s="6" t="inlineStr">
        <is>
          <t>MO</t>
        </is>
      </c>
      <c r="I20" s="61" t="n">
        <v>0.02966608</v>
      </c>
      <c r="J20" s="6" t="inlineStr">
        <is>
          <t>ALTRIA GROUP INC</t>
        </is>
      </c>
      <c r="K20" s="6" t="inlineStr">
        <is>
          <t>Consumer Staples</t>
        </is>
      </c>
      <c r="L20" s="6" t="inlineStr">
        <is>
          <t>알트리아</t>
        </is>
      </c>
      <c r="M20" s="7">
        <f>IF(H20="","",IFERROR(VLOOKUP(K20,$P$5:$Q$15,2,FALSE),"현금·선물"))</f>
        <v/>
      </c>
    </row>
    <row r="21">
      <c r="C21" s="23" t="inlineStr">
        <is>
          <t>섹터</t>
        </is>
      </c>
      <c r="E21" s="23" t="inlineStr">
        <is>
          <t>비중</t>
        </is>
      </c>
      <c r="H21" s="6" t="inlineStr">
        <is>
          <t>LMT</t>
        </is>
      </c>
      <c r="I21" s="61" t="n">
        <v>0.02933715</v>
      </c>
      <c r="J21" s="6" t="inlineStr">
        <is>
          <t>LOCKHEED MARTIN</t>
        </is>
      </c>
      <c r="K21" s="6" t="inlineStr">
        <is>
          <t>Industrials</t>
        </is>
      </c>
      <c r="L21" s="6" t="inlineStr">
        <is>
          <t>록히드마틴</t>
        </is>
      </c>
      <c r="M21" s="7">
        <f>IF(H21="","",IFERROR(VLOOKUP(K21,$P$5:$Q$15,2,FALSE),"현금·선물"))</f>
        <v/>
      </c>
    </row>
    <row r="22">
      <c r="C22" s="12" t="inlineStr">
        <is>
          <t>필수소비재</t>
        </is>
      </c>
      <c r="E22" s="60">
        <f>SUMIFS($I$5:$I$166,$M$5:$M$166,C22)</f>
        <v/>
      </c>
      <c r="H22" s="6" t="inlineStr">
        <is>
          <t>ADP</t>
        </is>
      </c>
      <c r="I22" s="61" t="n">
        <v>0.02888952</v>
      </c>
      <c r="J22" s="6" t="inlineStr">
        <is>
          <t>AUTOMATIC DATA PROCESSING INC</t>
        </is>
      </c>
      <c r="K22" s="6" t="inlineStr">
        <is>
          <t>Industrials</t>
        </is>
      </c>
      <c r="L22" s="6" t="inlineStr">
        <is>
          <t>ADP</t>
        </is>
      </c>
      <c r="M22" s="7">
        <f>IF(H22="","",IFERROR(VLOOKUP(K22,$P$5:$Q$15,2,FALSE),"현금·선물"))</f>
        <v/>
      </c>
    </row>
    <row r="23">
      <c r="C23" s="12" t="inlineStr">
        <is>
          <t>헬스케어</t>
        </is>
      </c>
      <c r="E23" s="60">
        <f>SUMIFS($I$5:$I$166,$M$5:$M$166,C23)</f>
        <v/>
      </c>
      <c r="H23" s="6" t="inlineStr">
        <is>
          <t>BX</t>
        </is>
      </c>
      <c r="I23" s="61" t="n">
        <v>0.02117156</v>
      </c>
      <c r="J23" s="6" t="inlineStr">
        <is>
          <t>BLACKSTONE</t>
        </is>
      </c>
      <c r="K23" s="6" t="inlineStr">
        <is>
          <t>Financials</t>
        </is>
      </c>
      <c r="L23" s="6" t="inlineStr">
        <is>
          <t>블랙스톤</t>
        </is>
      </c>
      <c r="M23" s="7">
        <f>IF(H23="","",IFERROR(VLOOKUP(K23,$P$5:$Q$15,2,FALSE),"현금·선물"))</f>
        <v/>
      </c>
    </row>
    <row r="24">
      <c r="C24" s="12" t="inlineStr">
        <is>
          <t>에너지</t>
        </is>
      </c>
      <c r="E24" s="60">
        <f>SUMIFS($I$5:$I$166,$M$5:$M$166,C24)</f>
        <v/>
      </c>
      <c r="H24" s="6" t="inlineStr">
        <is>
          <t>EOG</t>
        </is>
      </c>
      <c r="I24" s="61" t="n">
        <v>0.02044531</v>
      </c>
      <c r="J24" s="6" t="inlineStr">
        <is>
          <t>EOG RESOURCES</t>
        </is>
      </c>
      <c r="K24" s="6" t="inlineStr">
        <is>
          <t>Energy</t>
        </is>
      </c>
      <c r="L24" s="6" t="inlineStr">
        <is>
          <t>EOG 리소시스</t>
        </is>
      </c>
      <c r="M24" s="7">
        <f>IF(H24="","",IFERROR(VLOOKUP(K24,$P$5:$Q$15,2,FALSE),"현금·선물"))</f>
        <v/>
      </c>
    </row>
    <row r="25">
      <c r="C25" s="12" t="inlineStr">
        <is>
          <t>정보기술</t>
        </is>
      </c>
      <c r="E25" s="60">
        <f>SUMIFS($I$5:$I$166,$M$5:$M$166,C25)</f>
        <v/>
      </c>
      <c r="H25" s="6" t="inlineStr">
        <is>
          <t>CMCSA</t>
        </is>
      </c>
      <c r="I25" s="61" t="n">
        <v>0.01920005</v>
      </c>
      <c r="J25" s="6" t="inlineStr">
        <is>
          <t>COMCAST CLASS A</t>
        </is>
      </c>
      <c r="K25" s="6" t="inlineStr">
        <is>
          <t>Communication Services</t>
        </is>
      </c>
      <c r="L25" s="6" t="inlineStr">
        <is>
          <t>컴캐스트</t>
        </is>
      </c>
      <c r="M25" s="7">
        <f>IF(H25="","",IFERROR(VLOOKUP(K25,$P$5:$Q$15,2,FALSE),"현금·선물"))</f>
        <v/>
      </c>
    </row>
    <row r="26">
      <c r="C26" s="12" t="inlineStr">
        <is>
          <t>산업재</t>
        </is>
      </c>
      <c r="E26" s="60">
        <f>SUMIFS($I$5:$I$166,$M$5:$M$166,C26)</f>
        <v/>
      </c>
      <c r="H26" s="6" t="inlineStr">
        <is>
          <t>SLB</t>
        </is>
      </c>
      <c r="I26" s="61" t="n">
        <v>0.01882809</v>
      </c>
      <c r="J26" s="6" t="inlineStr">
        <is>
          <t>SLB</t>
        </is>
      </c>
      <c r="K26" s="6" t="inlineStr">
        <is>
          <t>Energy</t>
        </is>
      </c>
      <c r="L26" s="6" t="inlineStr">
        <is>
          <t>SLB</t>
        </is>
      </c>
      <c r="M26" s="7">
        <f>IF(H26="","",IFERROR(VLOOKUP(K26,$P$5:$Q$15,2,FALSE),"현금·선물"))</f>
        <v/>
      </c>
    </row>
    <row r="27">
      <c r="C27" s="12" t="inlineStr">
        <is>
          <t>금융</t>
        </is>
      </c>
      <c r="E27" s="60">
        <f>SUMIFS($I$5:$I$166,$M$5:$M$166,C27)</f>
        <v/>
      </c>
      <c r="H27" s="6" t="inlineStr">
        <is>
          <t>UPS</t>
        </is>
      </c>
      <c r="I27" s="61" t="n">
        <v>0.01810611</v>
      </c>
      <c r="J27" s="6" t="inlineStr">
        <is>
          <t>UNITED PARCEL SERVICE INC CLASS B</t>
        </is>
      </c>
      <c r="K27" s="6" t="inlineStr">
        <is>
          <t>Industrials</t>
        </is>
      </c>
      <c r="L27" s="6" t="inlineStr">
        <is>
          <t>UPS</t>
        </is>
      </c>
      <c r="M27" s="7">
        <f>IF(H27="","",IFERROR(VLOOKUP(K27,$P$5:$Q$15,2,FALSE),"현금·선물"))</f>
        <v/>
      </c>
    </row>
    <row r="28">
      <c r="C28" s="12" t="inlineStr">
        <is>
          <t>경기소비재</t>
        </is>
      </c>
      <c r="E28" s="60">
        <f>SUMIFS($I$5:$I$166,$M$5:$M$166,C28)</f>
        <v/>
      </c>
      <c r="H28" s="6" t="inlineStr">
        <is>
          <t>TGT</t>
        </is>
      </c>
      <c r="I28" s="61" t="n">
        <v>0.0165886</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OKE</t>
        </is>
      </c>
      <c r="I29" s="61" t="n">
        <v>0.01444304</v>
      </c>
      <c r="J29" s="6" t="inlineStr">
        <is>
          <t>ONEOK</t>
        </is>
      </c>
      <c r="K29" s="6" t="inlineStr">
        <is>
          <t>Energy</t>
        </is>
      </c>
      <c r="L29" s="6" t="inlineStr"/>
      <c r="M29" s="7">
        <f>IF(H29="","",IFERROR(VLOOKUP(K29,$P$5:$Q$15,2,FALSE),"현금·선물"))</f>
        <v/>
      </c>
    </row>
    <row r="30">
      <c r="C30" s="12" t="inlineStr">
        <is>
          <t>유틸리티</t>
        </is>
      </c>
      <c r="E30" s="60">
        <f>SUMIFS($I$5:$I$166,$M$5:$M$166,C30)</f>
        <v/>
      </c>
      <c r="H30" s="6" t="inlineStr">
        <is>
          <t>FAST</t>
        </is>
      </c>
      <c r="I30" s="61" t="n">
        <v>0.01424178</v>
      </c>
      <c r="J30" s="6" t="inlineStr">
        <is>
          <t>FASTENAL</t>
        </is>
      </c>
      <c r="K30" s="6" t="inlineStr">
        <is>
          <t>Industrials</t>
        </is>
      </c>
      <c r="L30" s="6" t="inlineStr">
        <is>
          <t>패스널</t>
        </is>
      </c>
      <c r="M30" s="7">
        <f>IF(H30="","",IFERROR(VLOOKUP(K30,$P$5:$Q$15,2,FALSE),"현금·선물"))</f>
        <v/>
      </c>
    </row>
    <row r="31">
      <c r="C31" s="12" t="inlineStr">
        <is>
          <t>현금·선물</t>
        </is>
      </c>
      <c r="E31" s="60">
        <f>SUMIFS($I$5:$I$166,$M$5:$M$166,C31)</f>
        <v/>
      </c>
      <c r="H31" s="6" t="inlineStr">
        <is>
          <t>DVN</t>
        </is>
      </c>
      <c r="I31" s="61" t="n">
        <v>0.0135155</v>
      </c>
      <c r="J31" s="6" t="inlineStr">
        <is>
          <t>DEVON ENERGY</t>
        </is>
      </c>
      <c r="K31" s="6" t="inlineStr">
        <is>
          <t>Energy</t>
        </is>
      </c>
      <c r="L31" s="6" t="inlineStr"/>
      <c r="M31" s="7">
        <f>IF(H31="","",IFERROR(VLOOKUP(K31,$P$5:$Q$15,2,FALSE),"현금·선물"))</f>
        <v/>
      </c>
    </row>
    <row r="32">
      <c r="H32" s="6" t="inlineStr">
        <is>
          <t>FITB</t>
        </is>
      </c>
      <c r="I32" s="61" t="n">
        <v>0.01148761</v>
      </c>
      <c r="J32" s="6" t="inlineStr">
        <is>
          <t>FIFTH THIRD BANCORP</t>
        </is>
      </c>
      <c r="K32" s="6" t="inlineStr">
        <is>
          <t>Financials</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t>
        </is>
      </c>
      <c r="I33" s="61" t="n">
        <v>0.01086293</v>
      </c>
      <c r="J33" s="6" t="inlineStr">
        <is>
          <t>FORD MOTOR</t>
        </is>
      </c>
      <c r="K33" s="6" t="inlineStr">
        <is>
          <t>Consumer Discretionary</t>
        </is>
      </c>
      <c r="L33" s="6" t="inlineStr"/>
      <c r="M33" s="7">
        <f>IF(H33="","",IFERROR(VLOOKUP(K33,$P$5:$Q$15,2,FALSE),"현금·선물"))</f>
        <v/>
      </c>
    </row>
    <row r="34">
      <c r="H34" s="6" t="inlineStr">
        <is>
          <t>ADM</t>
        </is>
      </c>
      <c r="I34" s="61" t="n">
        <v>0.009234529999999999</v>
      </c>
      <c r="J34" s="6" t="inlineStr">
        <is>
          <t>ARCHER DANIELS MIDLAND</t>
        </is>
      </c>
      <c r="K34" s="6" t="inlineStr">
        <is>
          <t>Consumer Staples</t>
        </is>
      </c>
      <c r="L34" s="6" t="inlineStr"/>
      <c r="M34" s="7">
        <f>IF(H34="","",IFERROR(VLOOKUP(K34,$P$5:$Q$15,2,FALSE),"현금·선물"))</f>
        <v/>
      </c>
    </row>
    <row r="35">
      <c r="H35" s="6" t="inlineStr">
        <is>
          <t>PAYX</t>
        </is>
      </c>
      <c r="I35" s="61" t="n">
        <v>0.00903411</v>
      </c>
      <c r="J35" s="6" t="inlineStr">
        <is>
          <t>PAYCHEX</t>
        </is>
      </c>
      <c r="K35" s="6" t="inlineStr">
        <is>
          <t>Industrials</t>
        </is>
      </c>
      <c r="L35" s="6" t="inlineStr"/>
      <c r="M35" s="7">
        <f>IF(H35="","",IFERROR(VLOOKUP(K35,$P$5:$Q$15,2,FALSE),"현금·선물"))</f>
        <v/>
      </c>
    </row>
    <row r="36">
      <c r="H36" s="6" t="inlineStr">
        <is>
          <t>KMB</t>
        </is>
      </c>
      <c r="I36" s="61" t="n">
        <v>0.008758409999999999</v>
      </c>
      <c r="J36" s="6" t="inlineStr">
        <is>
          <t>KIMBERLY CLARK</t>
        </is>
      </c>
      <c r="K36" s="6" t="inlineStr">
        <is>
          <t>Consumer Staples</t>
        </is>
      </c>
      <c r="L36" s="6" t="inlineStr"/>
      <c r="M36" s="7">
        <f>IF(H36="","",IFERROR(VLOOKUP(K36,$P$5:$Q$15,2,FALSE),"현금·선물"))</f>
        <v/>
      </c>
    </row>
    <row r="37">
      <c r="H37" s="6" t="inlineStr">
        <is>
          <t>ARES</t>
        </is>
      </c>
      <c r="I37" s="61" t="n">
        <v>0.00653687</v>
      </c>
      <c r="J37" s="6" t="inlineStr">
        <is>
          <t>ARES MANAGEMENT CLASS A</t>
        </is>
      </c>
      <c r="K37" s="6" t="inlineStr">
        <is>
          <t>Financials</t>
        </is>
      </c>
      <c r="L37" s="6" t="inlineStr"/>
      <c r="M37" s="7">
        <f>IF(H37="","",IFERROR(VLOOKUP(K37,$P$5:$Q$15,2,FALSE),"현금·선물"))</f>
        <v/>
      </c>
    </row>
    <row r="38">
      <c r="H38" s="6" t="inlineStr">
        <is>
          <t>CINF</t>
        </is>
      </c>
      <c r="I38" s="61" t="n">
        <v>0.00646902</v>
      </c>
      <c r="J38" s="6" t="inlineStr">
        <is>
          <t>CINCINNATI FINANCIAL</t>
        </is>
      </c>
      <c r="K38" s="6" t="inlineStr">
        <is>
          <t>Financials</t>
        </is>
      </c>
      <c r="L38" s="6" t="inlineStr"/>
      <c r="M38" s="7">
        <f>IF(H38="","",IFERROR(VLOOKUP(K38,$P$5:$Q$15,2,FALSE),"현금·선물"))</f>
        <v/>
      </c>
    </row>
    <row r="39">
      <c r="H39" s="6" t="inlineStr">
        <is>
          <t>HSY</t>
        </is>
      </c>
      <c r="I39" s="61" t="n">
        <v>0.00593399</v>
      </c>
      <c r="J39" s="6" t="inlineStr">
        <is>
          <t>HERSHEY FOODS</t>
        </is>
      </c>
      <c r="K39" s="6" t="inlineStr">
        <is>
          <t>Consumer Staples</t>
        </is>
      </c>
      <c r="L39" s="6" t="inlineStr"/>
      <c r="M39" s="7">
        <f>IF(H39="","",IFERROR(VLOOKUP(K39,$P$5:$Q$15,2,FALSE),"현금·선물"))</f>
        <v/>
      </c>
    </row>
    <row r="40">
      <c r="H40" s="6" t="inlineStr">
        <is>
          <t>RF</t>
        </is>
      </c>
      <c r="I40" s="61" t="n">
        <v>0.00579904</v>
      </c>
      <c r="J40" s="6" t="inlineStr">
        <is>
          <t>REGIONS FINANCIAL</t>
        </is>
      </c>
      <c r="K40" s="6" t="inlineStr">
        <is>
          <t>Financials</t>
        </is>
      </c>
      <c r="L40" s="6" t="inlineStr"/>
      <c r="M40" s="7">
        <f>IF(H40="","",IFERROR(VLOOKUP(K40,$P$5:$Q$15,2,FALSE),"현금·선물"))</f>
        <v/>
      </c>
    </row>
    <row r="41">
      <c r="H41" s="6" t="inlineStr">
        <is>
          <t>DRI</t>
        </is>
      </c>
      <c r="I41" s="61" t="n">
        <v>0.00576538</v>
      </c>
      <c r="J41" s="6" t="inlineStr">
        <is>
          <t>DARDEN RESTAURANTS INC</t>
        </is>
      </c>
      <c r="K41" s="6" t="inlineStr">
        <is>
          <t>Consumer Discretionary</t>
        </is>
      </c>
      <c r="L41" s="6" t="inlineStr"/>
      <c r="M41" s="7">
        <f>IF(H41="","",IFERROR(VLOOKUP(K41,$P$5:$Q$15,2,FALSE),"현금·선물"))</f>
        <v/>
      </c>
    </row>
    <row r="42">
      <c r="H42" s="6" t="inlineStr">
        <is>
          <t>TROW</t>
        </is>
      </c>
      <c r="I42" s="61" t="n">
        <v>0.0053142</v>
      </c>
      <c r="J42" s="6" t="inlineStr">
        <is>
          <t>T ROWE PRICE GROUP</t>
        </is>
      </c>
      <c r="K42" s="6" t="inlineStr">
        <is>
          <t>Financials</t>
        </is>
      </c>
      <c r="L42" s="6" t="inlineStr"/>
      <c r="M42" s="7">
        <f>IF(H42="","",IFERROR(VLOOKUP(K42,$P$5:$Q$15,2,FALSE),"현금·선물"))</f>
        <v/>
      </c>
    </row>
    <row r="43">
      <c r="H43" s="6" t="inlineStr">
        <is>
          <t>PFG</t>
        </is>
      </c>
      <c r="I43" s="61" t="n">
        <v>0.00505742</v>
      </c>
      <c r="J43" s="6" t="inlineStr">
        <is>
          <t>PRINCIPAL FINANCIAL GROUP INC</t>
        </is>
      </c>
      <c r="K43" s="6" t="inlineStr">
        <is>
          <t>Financials</t>
        </is>
      </c>
      <c r="L43" s="6" t="inlineStr"/>
      <c r="M43" s="7">
        <f>IF(H43="","",IFERROR(VLOOKUP(K43,$P$5:$Q$15,2,FALSE),"현금·선물"))</f>
        <v/>
      </c>
    </row>
    <row r="44">
      <c r="H44" s="6" t="inlineStr">
        <is>
          <t>BR</t>
        </is>
      </c>
      <c r="I44" s="61" t="n">
        <v>0.00499736</v>
      </c>
      <c r="J44" s="6" t="inlineStr">
        <is>
          <t>BROADRIDGE FINANCIAL SOLUTIONS INC</t>
        </is>
      </c>
      <c r="K44" s="6" t="inlineStr">
        <is>
          <t>Industrials</t>
        </is>
      </c>
      <c r="L44" s="6" t="inlineStr"/>
      <c r="M44" s="7">
        <f>IF(H44="","",IFERROR(VLOOKUP(K44,$P$5:$Q$15,2,FALSE),"현금·선물"))</f>
        <v/>
      </c>
    </row>
    <row r="45">
      <c r="H45" s="6" t="inlineStr">
        <is>
          <t>BBY</t>
        </is>
      </c>
      <c r="I45" s="61" t="n">
        <v>0.00472818</v>
      </c>
      <c r="J45" s="6" t="inlineStr">
        <is>
          <t>BEST BUY</t>
        </is>
      </c>
      <c r="K45" s="6" t="inlineStr">
        <is>
          <t>Consumer Discretionary</t>
        </is>
      </c>
      <c r="L45" s="6" t="inlineStr"/>
      <c r="M45" s="7">
        <f>IF(H45="","",IFERROR(VLOOKUP(K45,$P$5:$Q$15,2,FALSE),"현금·선물"))</f>
        <v/>
      </c>
    </row>
    <row r="46">
      <c r="H46" s="6" t="inlineStr">
        <is>
          <t>DINO</t>
        </is>
      </c>
      <c r="I46" s="61" t="n">
        <v>0.00449705</v>
      </c>
      <c r="J46" s="6" t="inlineStr">
        <is>
          <t>HF SINCLAIR</t>
        </is>
      </c>
      <c r="K46" s="6" t="inlineStr">
        <is>
          <t>Energy</t>
        </is>
      </c>
      <c r="L46" s="6" t="inlineStr"/>
      <c r="M46" s="7">
        <f>IF(H46="","",IFERROR(VLOOKUP(K46,$P$5:$Q$15,2,FALSE),"현금·선물"))</f>
        <v/>
      </c>
    </row>
    <row r="47">
      <c r="H47" s="6" t="inlineStr">
        <is>
          <t>SNA</t>
        </is>
      </c>
      <c r="I47" s="61" t="n">
        <v>0.00441511</v>
      </c>
      <c r="J47" s="6" t="inlineStr">
        <is>
          <t>SNAP ON INC</t>
        </is>
      </c>
      <c r="K47" s="6" t="inlineStr">
        <is>
          <t>Industrials</t>
        </is>
      </c>
      <c r="L47" s="6" t="inlineStr"/>
      <c r="M47" s="7">
        <f>IF(H47="","",IFERROR(VLOOKUP(K47,$P$5:$Q$15,2,FALSE),"현금·선물"))</f>
        <v/>
      </c>
    </row>
    <row r="48">
      <c r="H48" s="6" t="inlineStr">
        <is>
          <t>GIS</t>
        </is>
      </c>
      <c r="I48" s="61" t="n">
        <v>0.00439673</v>
      </c>
      <c r="J48" s="6" t="inlineStr">
        <is>
          <t>GENERAL MILLS INC</t>
        </is>
      </c>
      <c r="K48" s="6" t="inlineStr">
        <is>
          <t>Consumer Staples</t>
        </is>
      </c>
      <c r="L48" s="6" t="inlineStr"/>
      <c r="M48" s="7">
        <f>IF(H48="","",IFERROR(VLOOKUP(K48,$P$5:$Q$15,2,FALSE),"현금·선물"))</f>
        <v/>
      </c>
    </row>
    <row r="49">
      <c r="H49" s="6" t="inlineStr">
        <is>
          <t>APA</t>
        </is>
      </c>
      <c r="I49" s="61" t="n">
        <v>0.0043474</v>
      </c>
      <c r="J49" s="6" t="inlineStr">
        <is>
          <t>APA</t>
        </is>
      </c>
      <c r="K49" s="6" t="inlineStr">
        <is>
          <t>Energy</t>
        </is>
      </c>
      <c r="L49" s="6" t="inlineStr"/>
      <c r="M49" s="7">
        <f>IF(H49="","",IFERROR(VLOOKUP(K49,$P$5:$Q$15,2,FALSE),"현금·선물"))</f>
        <v/>
      </c>
    </row>
    <row r="50">
      <c r="H50" s="6" t="inlineStr">
        <is>
          <t>EWBC</t>
        </is>
      </c>
      <c r="I50" s="61" t="n">
        <v>0.00429793</v>
      </c>
      <c r="J50" s="6" t="inlineStr">
        <is>
          <t>EAST WEST BANCORP</t>
        </is>
      </c>
      <c r="K50" s="6" t="inlineStr">
        <is>
          <t>Financials</t>
        </is>
      </c>
      <c r="L50" s="6" t="inlineStr"/>
      <c r="M50" s="7">
        <f>IF(H50="","",IFERROR(VLOOKUP(K50,$P$5:$Q$15,2,FALSE),"현금·선물"))</f>
        <v/>
      </c>
    </row>
    <row r="51">
      <c r="H51" s="6" t="inlineStr">
        <is>
          <t>WSO</t>
        </is>
      </c>
      <c r="I51" s="61" t="n">
        <v>0.00274762</v>
      </c>
      <c r="J51" s="6" t="inlineStr">
        <is>
          <t>WATSCO</t>
        </is>
      </c>
      <c r="K51" s="6" t="inlineStr">
        <is>
          <t>Industrials</t>
        </is>
      </c>
      <c r="L51" s="6" t="inlineStr"/>
      <c r="M51" s="7">
        <f>IF(H51="","",IFERROR(VLOOKUP(K51,$P$5:$Q$15,2,FALSE),"현금·선물"))</f>
        <v/>
      </c>
    </row>
    <row r="52">
      <c r="H52" s="6" t="inlineStr">
        <is>
          <t>AFG</t>
        </is>
      </c>
      <c r="I52" s="61" t="n">
        <v>0.00247547</v>
      </c>
      <c r="J52" s="6" t="inlineStr">
        <is>
          <t>AMERICAN FINANCIAL GROUP</t>
        </is>
      </c>
      <c r="K52" s="6" t="inlineStr">
        <is>
          <t>Financials</t>
        </is>
      </c>
      <c r="L52" s="6" t="inlineStr"/>
      <c r="M52" s="7">
        <f>IF(H52="","",IFERROR(VLOOKUP(K52,$P$5:$Q$15,2,FALSE),"현금·선물"))</f>
        <v/>
      </c>
    </row>
    <row r="53">
      <c r="H53" s="6" t="inlineStr">
        <is>
          <t>FNF</t>
        </is>
      </c>
      <c r="I53" s="61" t="n">
        <v>0.00246148</v>
      </c>
      <c r="J53" s="6" t="inlineStr">
        <is>
          <t>FIDELITY NATIONAL FINANCIAL INC</t>
        </is>
      </c>
      <c r="K53" s="6" t="inlineStr">
        <is>
          <t>Financials</t>
        </is>
      </c>
      <c r="L53" s="6" t="inlineStr"/>
      <c r="M53" s="7">
        <f>IF(H53="","",IFERROR(VLOOKUP(K53,$P$5:$Q$15,2,FALSE),"현금·선물"))</f>
        <v/>
      </c>
    </row>
    <row r="54">
      <c r="H54" s="6" t="inlineStr">
        <is>
          <t>BAH</t>
        </is>
      </c>
      <c r="I54" s="61" t="n">
        <v>0.00225104</v>
      </c>
      <c r="J54" s="6" t="inlineStr">
        <is>
          <t>BOOZ ALLEN HAMILTON HOLDING CLASS</t>
        </is>
      </c>
      <c r="K54" s="6" t="inlineStr">
        <is>
          <t>Industrials</t>
        </is>
      </c>
      <c r="L54" s="6" t="inlineStr"/>
      <c r="M54" s="7">
        <f>IF(H54="","",IFERROR(VLOOKUP(K54,$P$5:$Q$15,2,FALSE),"현금·선물"))</f>
        <v/>
      </c>
    </row>
    <row r="55">
      <c r="H55" s="6" t="inlineStr">
        <is>
          <t>COLB</t>
        </is>
      </c>
      <c r="I55" s="61" t="n">
        <v>0.00208524</v>
      </c>
      <c r="J55" s="6" t="inlineStr">
        <is>
          <t>COLUMBIA BANKING SYSTEM INC</t>
        </is>
      </c>
      <c r="K55" s="6" t="inlineStr">
        <is>
          <t>Financials</t>
        </is>
      </c>
      <c r="L55" s="6" t="inlineStr"/>
      <c r="M55" s="7">
        <f>IF(H55="","",IFERROR(VLOOKUP(K55,$P$5:$Q$15,2,FALSE),"현금·선물"))</f>
        <v/>
      </c>
    </row>
    <row r="56">
      <c r="H56" s="6" t="inlineStr">
        <is>
          <t>ORI</t>
        </is>
      </c>
      <c r="I56" s="61" t="n">
        <v>0.00206549</v>
      </c>
      <c r="J56" s="6" t="inlineStr">
        <is>
          <t>OLD REPUBLIC INTERNATIONAL</t>
        </is>
      </c>
      <c r="K56" s="6" t="inlineStr">
        <is>
          <t>Financials</t>
        </is>
      </c>
      <c r="L56" s="6" t="inlineStr"/>
      <c r="M56" s="7">
        <f>IF(H56="","",IFERROR(VLOOKUP(K56,$P$5:$Q$15,2,FALSE),"현금·선물"))</f>
        <v/>
      </c>
    </row>
    <row r="57">
      <c r="H57" s="6" t="inlineStr">
        <is>
          <t>ALV</t>
        </is>
      </c>
      <c r="I57" s="61" t="n">
        <v>0.00182647</v>
      </c>
      <c r="J57" s="6" t="inlineStr">
        <is>
          <t>AUTOLIV</t>
        </is>
      </c>
      <c r="K57" s="6" t="inlineStr">
        <is>
          <t>Consumer Discretionary</t>
        </is>
      </c>
      <c r="L57" s="6" t="inlineStr"/>
      <c r="M57" s="7">
        <f>IF(H57="","",IFERROR(VLOOKUP(K57,$P$5:$Q$15,2,FALSE),"현금·선물"))</f>
        <v/>
      </c>
    </row>
    <row r="58">
      <c r="H58" s="6" t="inlineStr">
        <is>
          <t>ERIE</t>
        </is>
      </c>
      <c r="I58" s="61" t="n">
        <v>0.00156608</v>
      </c>
      <c r="J58" s="6" t="inlineStr">
        <is>
          <t>ERIE INDEMNITY CLASS A</t>
        </is>
      </c>
      <c r="K58" s="6" t="inlineStr">
        <is>
          <t>Financials</t>
        </is>
      </c>
      <c r="L58" s="6" t="inlineStr"/>
      <c r="M58" s="7">
        <f>IF(H58="","",IFERROR(VLOOKUP(K58,$P$5:$Q$15,2,FALSE),"현금·선물"))</f>
        <v/>
      </c>
    </row>
    <row r="59">
      <c r="H59" s="6" t="inlineStr">
        <is>
          <t>M</t>
        </is>
      </c>
      <c r="I59" s="61" t="n">
        <v>0.00151419</v>
      </c>
      <c r="J59" s="6" t="inlineStr">
        <is>
          <t>MACYS</t>
        </is>
      </c>
      <c r="K59" s="6" t="inlineStr">
        <is>
          <t>Consumer Discretionary</t>
        </is>
      </c>
      <c r="L59" s="6" t="inlineStr"/>
      <c r="M59" s="7">
        <f>IF(H59="","",IFERROR(VLOOKUP(K59,$P$5:$Q$15,2,FALSE),"현금·선물"))</f>
        <v/>
      </c>
    </row>
    <row r="60">
      <c r="H60" s="6" t="inlineStr">
        <is>
          <t>MUR</t>
        </is>
      </c>
      <c r="I60" s="61" t="n">
        <v>0.00143015</v>
      </c>
      <c r="J60" s="6" t="inlineStr">
        <is>
          <t>MURPHY OIL</t>
        </is>
      </c>
      <c r="K60" s="6" t="inlineStr">
        <is>
          <t>Energy</t>
        </is>
      </c>
      <c r="L60" s="6" t="inlineStr"/>
      <c r="M60" s="7">
        <f>IF(H60="","",IFERROR(VLOOKUP(K60,$P$5:$Q$15,2,FALSE),"현금·선물"))</f>
        <v/>
      </c>
    </row>
    <row r="61">
      <c r="H61" s="6" t="inlineStr">
        <is>
          <t>MTN</t>
        </is>
      </c>
      <c r="I61" s="61" t="n">
        <v>0.00124874</v>
      </c>
      <c r="J61" s="6" t="inlineStr">
        <is>
          <t>VAIL RESORTS</t>
        </is>
      </c>
      <c r="K61" s="6" t="inlineStr">
        <is>
          <t>Consumer Discretionary</t>
        </is>
      </c>
      <c r="L61" s="6" t="inlineStr"/>
      <c r="M61" s="7">
        <f>IF(H61="","",IFERROR(VLOOKUP(K61,$P$5:$Q$15,2,FALSE),"현금·선물"))</f>
        <v/>
      </c>
    </row>
    <row r="62">
      <c r="H62" s="6" t="inlineStr">
        <is>
          <t>MSM</t>
        </is>
      </c>
      <c r="I62" s="61" t="n">
        <v>0.00124717</v>
      </c>
      <c r="J62" s="6" t="inlineStr">
        <is>
          <t>MSC INDUSTRIAL CLASS A</t>
        </is>
      </c>
      <c r="K62" s="6" t="inlineStr">
        <is>
          <t>Industrials</t>
        </is>
      </c>
      <c r="L62" s="6" t="inlineStr"/>
      <c r="M62" s="7">
        <f>IF(H62="","",IFERROR(VLOOKUP(K62,$P$5:$Q$15,2,FALSE),"현금·선물"))</f>
        <v/>
      </c>
    </row>
    <row r="63">
      <c r="H63" s="6" t="inlineStr">
        <is>
          <t>OZK</t>
        </is>
      </c>
      <c r="I63" s="61" t="n">
        <v>0.00122874</v>
      </c>
      <c r="J63" s="6" t="inlineStr">
        <is>
          <t>BANK OZK</t>
        </is>
      </c>
      <c r="K63" s="6" t="inlineStr">
        <is>
          <t>Financials</t>
        </is>
      </c>
      <c r="L63" s="6" t="inlineStr"/>
      <c r="M63" s="7">
        <f>IF(H63="","",IFERROR(VLOOKUP(K63,$P$5:$Q$15,2,FALSE),"현금·선물"))</f>
        <v/>
      </c>
    </row>
    <row r="64">
      <c r="H64" s="6" t="inlineStr">
        <is>
          <t>NXST</t>
        </is>
      </c>
      <c r="I64" s="61" t="n">
        <v>0.00116009</v>
      </c>
      <c r="J64" s="6" t="inlineStr">
        <is>
          <t>NEXSTAR MEDIA GROUP INC</t>
        </is>
      </c>
      <c r="K64" s="6" t="inlineStr">
        <is>
          <t>Communication Services</t>
        </is>
      </c>
      <c r="L64" s="6" t="inlineStr"/>
      <c r="M64" s="7">
        <f>IF(H64="","",IFERROR(VLOOKUP(K64,$P$5:$Q$15,2,FALSE),"현금·선물"))</f>
        <v/>
      </c>
    </row>
    <row r="65">
      <c r="H65" s="6" t="inlineStr">
        <is>
          <t>RHI</t>
        </is>
      </c>
      <c r="I65" s="61" t="n">
        <v>0.00110026</v>
      </c>
      <c r="J65" s="6" t="inlineStr">
        <is>
          <t>ROBERT HALF INC</t>
        </is>
      </c>
      <c r="K65" s="6" t="inlineStr">
        <is>
          <t>Industrials</t>
        </is>
      </c>
      <c r="L65" s="6" t="inlineStr"/>
      <c r="M65" s="7">
        <f>IF(H65="","",IFERROR(VLOOKUP(K65,$P$5:$Q$15,2,FALSE),"현금·선물"))</f>
        <v/>
      </c>
    </row>
    <row r="66">
      <c r="H66" s="6" t="inlineStr">
        <is>
          <t>FHI</t>
        </is>
      </c>
      <c r="I66" s="61" t="n">
        <v>0.0009682499999999999</v>
      </c>
      <c r="J66" s="6" t="inlineStr">
        <is>
          <t>FEDERATED HERMES INC CLASS B</t>
        </is>
      </c>
      <c r="K66" s="6" t="inlineStr">
        <is>
          <t>Financials</t>
        </is>
      </c>
      <c r="L66" s="6" t="inlineStr"/>
      <c r="M66" s="7">
        <f>IF(H66="","",IFERROR(VLOOKUP(K66,$P$5:$Q$15,2,FALSE),"현금·선물"))</f>
        <v/>
      </c>
    </row>
    <row r="67">
      <c r="H67" s="6" t="inlineStr">
        <is>
          <t>KFY</t>
        </is>
      </c>
      <c r="I67" s="61" t="n">
        <v>0.0009633899999999999</v>
      </c>
      <c r="J67" s="6" t="inlineStr">
        <is>
          <t>KORN FERRY</t>
        </is>
      </c>
      <c r="K67" s="6" t="inlineStr">
        <is>
          <t>Industrials</t>
        </is>
      </c>
      <c r="L67" s="6" t="inlineStr"/>
      <c r="M67" s="7">
        <f>IF(H67="","",IFERROR(VLOOKUP(K67,$P$5:$Q$15,2,FALSE),"현금·선물"))</f>
        <v/>
      </c>
    </row>
    <row r="68">
      <c r="H68" s="6" t="inlineStr">
        <is>
          <t>MC</t>
        </is>
      </c>
      <c r="I68" s="61" t="n">
        <v>0.00096317</v>
      </c>
      <c r="J68" s="6" t="inlineStr">
        <is>
          <t>MOELIS CLASS A</t>
        </is>
      </c>
      <c r="K68" s="6" t="inlineStr">
        <is>
          <t>Financials</t>
        </is>
      </c>
      <c r="L68" s="6" t="inlineStr"/>
      <c r="M68" s="7">
        <f>IF(H68="","",IFERROR(VLOOKUP(K68,$P$5:$Q$15,2,FALSE),"현금·선물"))</f>
        <v/>
      </c>
    </row>
    <row r="69">
      <c r="H69" s="6" t="inlineStr">
        <is>
          <t>CVBF</t>
        </is>
      </c>
      <c r="I69" s="61" t="n">
        <v>0.00091373</v>
      </c>
      <c r="J69" s="6" t="inlineStr">
        <is>
          <t>CVB FINANCIAL CORP</t>
        </is>
      </c>
      <c r="K69" s="6" t="inlineStr">
        <is>
          <t>Financials</t>
        </is>
      </c>
      <c r="L69" s="6" t="inlineStr"/>
      <c r="M69" s="7">
        <f>IF(H69="","",IFERROR(VLOOKUP(K69,$P$5:$Q$15,2,FALSE),"현금·선물"))</f>
        <v/>
      </c>
    </row>
    <row r="70">
      <c r="H70" s="6" t="inlineStr">
        <is>
          <t>PAG</t>
        </is>
      </c>
      <c r="I70" s="61" t="n">
        <v>0.00090142</v>
      </c>
      <c r="J70" s="6" t="inlineStr">
        <is>
          <t>PENSKE AUTOMOTIVE GROUP VOTING INC</t>
        </is>
      </c>
      <c r="K70" s="6" t="inlineStr">
        <is>
          <t>Consumer Discretionary</t>
        </is>
      </c>
      <c r="L70" s="6" t="inlineStr"/>
      <c r="M70" s="7">
        <f>IF(H70="","",IFERROR(VLOOKUP(K70,$P$5:$Q$15,2,FALSE),"현금·선물"))</f>
        <v/>
      </c>
    </row>
    <row r="71">
      <c r="H71" s="6" t="inlineStr">
        <is>
          <t>CWEN</t>
        </is>
      </c>
      <c r="I71" s="61" t="n">
        <v>0.0008986199999999999</v>
      </c>
      <c r="J71" s="6" t="inlineStr">
        <is>
          <t>CLEARWAY ENERGY INC CLASS C</t>
        </is>
      </c>
      <c r="K71" s="6" t="inlineStr">
        <is>
          <t>Utilities</t>
        </is>
      </c>
      <c r="L71" s="6" t="inlineStr"/>
      <c r="M71" s="7">
        <f>IF(H71="","",IFERROR(VLOOKUP(K71,$P$5:$Q$15,2,FALSE),"현금·선물"))</f>
        <v/>
      </c>
    </row>
    <row r="72">
      <c r="H72" s="6" t="inlineStr">
        <is>
          <t>BANR</t>
        </is>
      </c>
      <c r="I72" s="61" t="n">
        <v>0.0005681400000000001</v>
      </c>
      <c r="J72" s="6" t="inlineStr">
        <is>
          <t>BANNER CORP</t>
        </is>
      </c>
      <c r="K72" s="6" t="inlineStr">
        <is>
          <t>Financials</t>
        </is>
      </c>
      <c r="L72" s="6" t="inlineStr"/>
      <c r="M72" s="7">
        <f>IF(H72="","",IFERROR(VLOOKUP(K72,$P$5:$Q$15,2,FALSE),"현금·선물"))</f>
        <v/>
      </c>
    </row>
    <row r="73">
      <c r="H73" s="6" t="inlineStr">
        <is>
          <t>APAM</t>
        </is>
      </c>
      <c r="I73" s="61" t="n">
        <v>0.00056726</v>
      </c>
      <c r="J73" s="6" t="inlineStr">
        <is>
          <t>ARTISAN PARTNERS ASSET MANAGEMENT</t>
        </is>
      </c>
      <c r="K73" s="6" t="inlineStr">
        <is>
          <t>Financials</t>
        </is>
      </c>
      <c r="L73" s="6" t="inlineStr"/>
      <c r="M73" s="7">
        <f>IF(H73="","",IFERROR(VLOOKUP(K73,$P$5:$Q$15,2,FALSE),"현금·선물"))</f>
        <v/>
      </c>
    </row>
    <row r="74">
      <c r="H74" s="6" t="inlineStr">
        <is>
          <t>OFG</t>
        </is>
      </c>
      <c r="I74" s="61" t="n">
        <v>0.00051843</v>
      </c>
      <c r="J74" s="6" t="inlineStr">
        <is>
          <t>OFG BANCORP</t>
        </is>
      </c>
      <c r="K74" s="6" t="inlineStr">
        <is>
          <t>Financials</t>
        </is>
      </c>
      <c r="L74" s="6" t="inlineStr"/>
      <c r="M74" s="7">
        <f>IF(H74="","",IFERROR(VLOOKUP(K74,$P$5:$Q$15,2,FALSE),"현금·선물"))</f>
        <v/>
      </c>
    </row>
    <row r="75">
      <c r="H75" s="6" t="inlineStr">
        <is>
          <t>MZTI</t>
        </is>
      </c>
      <c r="I75" s="61" t="n">
        <v>0.0005083900000000001</v>
      </c>
      <c r="J75" s="6" t="inlineStr">
        <is>
          <t>MARZETTI</t>
        </is>
      </c>
      <c r="K75" s="6" t="inlineStr">
        <is>
          <t>Consumer Staples</t>
        </is>
      </c>
      <c r="L75" s="6" t="inlineStr"/>
      <c r="M75" s="7">
        <f>IF(H75="","",IFERROR(VLOOKUP(K75,$P$5:$Q$15,2,FALSE),"현금·선물"))</f>
        <v/>
      </c>
    </row>
    <row r="76">
      <c r="H76" s="6" t="inlineStr">
        <is>
          <t>IPAR</t>
        </is>
      </c>
      <c r="I76" s="61" t="n">
        <v>0.00050305</v>
      </c>
      <c r="J76" s="6" t="inlineStr">
        <is>
          <t>INTERPARFUMS INC</t>
        </is>
      </c>
      <c r="K76" s="6" t="inlineStr">
        <is>
          <t>Consumer Staples</t>
        </is>
      </c>
      <c r="L76" s="6" t="inlineStr"/>
      <c r="M76" s="7">
        <f>IF(H76="","",IFERROR(VLOOKUP(K76,$P$5:$Q$15,2,FALSE),"현금·선물"))</f>
        <v/>
      </c>
    </row>
    <row r="77">
      <c r="H77" s="6" t="inlineStr">
        <is>
          <t>CNS</t>
        </is>
      </c>
      <c r="I77" s="61" t="n">
        <v>0.00048028</v>
      </c>
      <c r="J77" s="6" t="inlineStr">
        <is>
          <t>COHEN &amp; STEERS INC</t>
        </is>
      </c>
      <c r="K77" s="6" t="inlineStr">
        <is>
          <t>Financials</t>
        </is>
      </c>
      <c r="L77" s="6" t="inlineStr"/>
      <c r="M77" s="7">
        <f>IF(H77="","",IFERROR(VLOOKUP(K77,$P$5:$Q$15,2,FALSE),"현금·선물"))</f>
        <v/>
      </c>
    </row>
    <row r="78">
      <c r="H78" s="6" t="inlineStr">
        <is>
          <t>CHCO</t>
        </is>
      </c>
      <c r="I78" s="61" t="n">
        <v>0.00047681</v>
      </c>
      <c r="J78" s="6" t="inlineStr">
        <is>
          <t>CITY HOLDING</t>
        </is>
      </c>
      <c r="K78" s="6" t="inlineStr">
        <is>
          <t>Financials</t>
        </is>
      </c>
      <c r="L78" s="6" t="inlineStr"/>
      <c r="M78" s="7">
        <f>IF(H78="","",IFERROR(VLOOKUP(K78,$P$5:$Q$15,2,FALSE),"현금·선물"))</f>
        <v/>
      </c>
    </row>
    <row r="79">
      <c r="H79" s="6" t="inlineStr">
        <is>
          <t>WU</t>
        </is>
      </c>
      <c r="I79" s="61" t="n">
        <v>0.00047403</v>
      </c>
      <c r="J79" s="6" t="inlineStr">
        <is>
          <t>WESTERN UNION</t>
        </is>
      </c>
      <c r="K79" s="6" t="inlineStr">
        <is>
          <t>Financials</t>
        </is>
      </c>
      <c r="L79" s="6" t="inlineStr"/>
      <c r="M79" s="7">
        <f>IF(H79="","",IFERROR(VLOOKUP(K79,$P$5:$Q$15,2,FALSE),"현금·선물"))</f>
        <v/>
      </c>
    </row>
    <row r="80">
      <c r="H80" s="6" t="inlineStr">
        <is>
          <t>NSP</t>
        </is>
      </c>
      <c r="I80" s="61" t="n">
        <v>0.00046603</v>
      </c>
      <c r="J80" s="6" t="inlineStr">
        <is>
          <t>INSPERITY</t>
        </is>
      </c>
      <c r="K80" s="6" t="inlineStr">
        <is>
          <t>Industrials</t>
        </is>
      </c>
      <c r="L80" s="6" t="inlineStr"/>
      <c r="M80" s="7">
        <f>IF(H80="","",IFERROR(VLOOKUP(K80,$P$5:$Q$15,2,FALSE),"현금·선물"))</f>
        <v/>
      </c>
    </row>
    <row r="81">
      <c r="H81" s="6" t="inlineStr">
        <is>
          <t>GABC</t>
        </is>
      </c>
      <c r="I81" s="61" t="n">
        <v>0.00045787</v>
      </c>
      <c r="J81" s="6" t="inlineStr">
        <is>
          <t>GERMAN AMERICAN BANCORP INC</t>
        </is>
      </c>
      <c r="K81" s="6" t="inlineStr">
        <is>
          <t>Financials</t>
        </is>
      </c>
      <c r="L81" s="6" t="inlineStr"/>
      <c r="M81" s="7">
        <f>IF(H81="","",IFERROR(VLOOKUP(K81,$P$5:$Q$15,2,FALSE),"현금·선물"))</f>
        <v/>
      </c>
    </row>
    <row r="82">
      <c r="H82" s="6" t="inlineStr">
        <is>
          <t>GVMXX</t>
        </is>
      </c>
      <c r="I82" s="61" t="n">
        <v>0.00045314</v>
      </c>
      <c r="J82" s="6" t="inlineStr">
        <is>
          <t>SSC GOVERNMENT MM GVMXX</t>
        </is>
      </c>
      <c r="K82" s="6" t="inlineStr"/>
      <c r="L82" s="6" t="inlineStr"/>
      <c r="M82" s="7">
        <f>IF(H82="","",IFERROR(VLOOKUP(K82,$P$5:$Q$15,2,FALSE),"현금·선물"))</f>
        <v/>
      </c>
    </row>
    <row r="83">
      <c r="H83" s="6" t="inlineStr">
        <is>
          <t>AGM</t>
        </is>
      </c>
      <c r="I83" s="61" t="n">
        <v>0.000446</v>
      </c>
      <c r="J83" s="6" t="inlineStr">
        <is>
          <t>FEDERAL AGRICULTURAL MORTGAGE NON</t>
        </is>
      </c>
      <c r="K83" s="6" t="inlineStr">
        <is>
          <t>Financials</t>
        </is>
      </c>
      <c r="L83" s="6" t="inlineStr"/>
      <c r="M83" s="7">
        <f>IF(H83="","",IFERROR(VLOOKUP(K83,$P$5:$Q$15,2,FALSE),"현금·선물"))</f>
        <v/>
      </c>
    </row>
    <row r="84">
      <c r="H84" s="6" t="inlineStr">
        <is>
          <t>STBA</t>
        </is>
      </c>
      <c r="I84" s="61" t="n">
        <v>0.0004269499999999999</v>
      </c>
      <c r="J84" s="6" t="inlineStr">
        <is>
          <t>S AND T BANCORP INC</t>
        </is>
      </c>
      <c r="K84" s="6" t="inlineStr">
        <is>
          <t>Financials</t>
        </is>
      </c>
      <c r="L84" s="6" t="inlineStr"/>
      <c r="M84" s="7">
        <f>IF(H84="","",IFERROR(VLOOKUP(K84,$P$5:$Q$15,2,FALSE),"현금·선물"))</f>
        <v/>
      </c>
    </row>
    <row r="85">
      <c r="H85" s="6" t="inlineStr">
        <is>
          <t>NBHC</t>
        </is>
      </c>
      <c r="I85" s="61" t="n">
        <v>0.00041346</v>
      </c>
      <c r="J85" s="6" t="inlineStr">
        <is>
          <t>NATIONAL BANK HOLDINGS CORP CLASS</t>
        </is>
      </c>
      <c r="K85" s="6" t="inlineStr">
        <is>
          <t>Financials</t>
        </is>
      </c>
      <c r="L85" s="6" t="inlineStr"/>
      <c r="M85" s="7">
        <f>IF(H85="","",IFERROR(VLOOKUP(K85,$P$5:$Q$15,2,FALSE),"현금·선물"))</f>
        <v/>
      </c>
    </row>
    <row r="86">
      <c r="H86" s="6" t="inlineStr">
        <is>
          <t>SRCE</t>
        </is>
      </c>
      <c r="I86" s="61" t="n">
        <v>0.00037262</v>
      </c>
      <c r="J86" s="6" t="inlineStr">
        <is>
          <t>1ST SOURCE</t>
        </is>
      </c>
      <c r="K86" s="6" t="inlineStr">
        <is>
          <t>Financials</t>
        </is>
      </c>
      <c r="L86" s="6" t="inlineStr"/>
      <c r="M86" s="7">
        <f>IF(H86="","",IFERROR(VLOOKUP(K86,$P$5:$Q$15,2,FALSE),"현금·선물"))</f>
        <v/>
      </c>
    </row>
    <row r="87">
      <c r="H87" s="6" t="inlineStr">
        <is>
          <t>LKFN</t>
        </is>
      </c>
      <c r="I87" s="61" t="n">
        <v>0.00034789</v>
      </c>
      <c r="J87" s="6" t="inlineStr">
        <is>
          <t>LAKELAND FINANCIAL CORP</t>
        </is>
      </c>
      <c r="K87" s="6" t="inlineStr">
        <is>
          <t>Financials</t>
        </is>
      </c>
      <c r="L87" s="6" t="inlineStr"/>
      <c r="M87" s="7">
        <f>IF(H87="","",IFERROR(VLOOKUP(K87,$P$5:$Q$15,2,FALSE),"현금·선물"))</f>
        <v/>
      </c>
    </row>
    <row r="88">
      <c r="H88" s="6" t="inlineStr">
        <is>
          <t>BKE</t>
        </is>
      </c>
      <c r="I88" s="61" t="n">
        <v>0.00034218</v>
      </c>
      <c r="J88" s="6" t="inlineStr">
        <is>
          <t>BUCKLE</t>
        </is>
      </c>
      <c r="K88" s="6" t="inlineStr">
        <is>
          <t>Consumer Discretionary</t>
        </is>
      </c>
      <c r="L88" s="6" t="inlineStr"/>
      <c r="M88" s="7">
        <f>IF(H88="","",IFERROR(VLOOKUP(K88,$P$5:$Q$15,2,FALSE),"현금·선물"))</f>
        <v/>
      </c>
    </row>
    <row r="89">
      <c r="H89" s="6" t="inlineStr">
        <is>
          <t>FLO</t>
        </is>
      </c>
      <c r="I89" s="61" t="n">
        <v>0.00031215</v>
      </c>
      <c r="J89" s="6" t="inlineStr">
        <is>
          <t>FLOWERS FOODS INC</t>
        </is>
      </c>
      <c r="K89" s="6" t="inlineStr">
        <is>
          <t>Consumer Staples</t>
        </is>
      </c>
      <c r="L89" s="6" t="inlineStr"/>
      <c r="M89" s="7">
        <f>IF(H89="","",IFERROR(VLOOKUP(K89,$P$5:$Q$15,2,FALSE),"현금·선물"))</f>
        <v/>
      </c>
    </row>
    <row r="90">
      <c r="H90" s="6" t="inlineStr">
        <is>
          <t>PFBC</t>
        </is>
      </c>
      <c r="I90" s="61" t="n">
        <v>0.00027834</v>
      </c>
      <c r="J90" s="6" t="inlineStr">
        <is>
          <t>PREFERRED BANK</t>
        </is>
      </c>
      <c r="K90" s="6" t="inlineStr">
        <is>
          <t>Financials</t>
        </is>
      </c>
      <c r="L90" s="6" t="inlineStr"/>
      <c r="M90" s="7">
        <f>IF(H90="","",IFERROR(VLOOKUP(K90,$P$5:$Q$15,2,FALSE),"현금·선물"))</f>
        <v/>
      </c>
    </row>
    <row r="91">
      <c r="H91" s="6" t="inlineStr">
        <is>
          <t>CNA</t>
        </is>
      </c>
      <c r="I91" s="61" t="n">
        <v>0.00025134</v>
      </c>
      <c r="J91" s="6" t="inlineStr">
        <is>
          <t>CNA FINANCIAL CORP</t>
        </is>
      </c>
      <c r="K91" s="6" t="inlineStr">
        <is>
          <t>Financials</t>
        </is>
      </c>
      <c r="L91" s="6" t="inlineStr"/>
      <c r="M91" s="7">
        <f>IF(H91="","",IFERROR(VLOOKUP(K91,$P$5:$Q$15,2,FALSE),"현금·선물"))</f>
        <v/>
      </c>
    </row>
    <row r="92">
      <c r="H92" s="6" t="inlineStr">
        <is>
          <t>WEN</t>
        </is>
      </c>
      <c r="I92" s="61" t="n">
        <v>0.000239</v>
      </c>
      <c r="J92" s="6" t="inlineStr">
        <is>
          <t>WENDYS</t>
        </is>
      </c>
      <c r="K92" s="6" t="inlineStr">
        <is>
          <t>Consumer Discretionary</t>
        </is>
      </c>
      <c r="L92" s="6" t="inlineStr"/>
      <c r="M92" s="7">
        <f>IF(H92="","",IFERROR(VLOOKUP(K92,$P$5:$Q$15,2,FALSE),"현금·선물"))</f>
        <v/>
      </c>
    </row>
    <row r="93">
      <c r="H93" s="6" t="inlineStr">
        <is>
          <t>CPF</t>
        </is>
      </c>
      <c r="I93" s="61" t="n">
        <v>0.00023141</v>
      </c>
      <c r="J93" s="6" t="inlineStr">
        <is>
          <t>CENTRAL PACIFIC FINANCIAL CORP</t>
        </is>
      </c>
      <c r="K93" s="6" t="inlineStr">
        <is>
          <t>Financials</t>
        </is>
      </c>
      <c r="L93" s="6" t="inlineStr"/>
      <c r="M93" s="7">
        <f>IF(H93="","",IFERROR(VLOOKUP(K93,$P$5:$Q$15,2,FALSE),"현금·선물"))</f>
        <v/>
      </c>
    </row>
    <row r="94">
      <c r="H94" s="6" t="inlineStr">
        <is>
          <t>HAFC</t>
        </is>
      </c>
      <c r="I94" s="61" t="n">
        <v>0.00022679</v>
      </c>
      <c r="J94" s="6" t="inlineStr">
        <is>
          <t>HANMI FINANCIAL CORP</t>
        </is>
      </c>
      <c r="K94" s="6" t="inlineStr">
        <is>
          <t>Financials</t>
        </is>
      </c>
      <c r="L94" s="6" t="inlineStr"/>
      <c r="M94" s="7">
        <f>IF(H94="","",IFERROR(VLOOKUP(K94,$P$5:$Q$15,2,FALSE),"현금·선물"))</f>
        <v/>
      </c>
    </row>
    <row r="95">
      <c r="H95" s="6" t="inlineStr">
        <is>
          <t>ORRF</t>
        </is>
      </c>
      <c r="I95" s="61" t="n">
        <v>0.00021104</v>
      </c>
      <c r="J95" s="6" t="inlineStr">
        <is>
          <t>ORRSTOWN FINANCIAL SERVICES INC</t>
        </is>
      </c>
      <c r="K95" s="6" t="inlineStr">
        <is>
          <t>Financials</t>
        </is>
      </c>
      <c r="L95" s="6" t="inlineStr"/>
      <c r="M95" s="7">
        <f>IF(H95="","",IFERROR(VLOOKUP(K95,$P$5:$Q$15,2,FALSE),"현금·선물"))</f>
        <v/>
      </c>
    </row>
    <row r="96">
      <c r="H96" s="6" t="inlineStr">
        <is>
          <t>IBCP</t>
        </is>
      </c>
      <c r="I96" s="61" t="n">
        <v>0.00019677</v>
      </c>
      <c r="J96" s="6" t="inlineStr">
        <is>
          <t>INDEPENDENT BANK CORP</t>
        </is>
      </c>
      <c r="K96" s="6" t="inlineStr">
        <is>
          <t>Financials</t>
        </is>
      </c>
      <c r="L96" s="6" t="inlineStr"/>
      <c r="M96" s="7">
        <f>IF(H96="","",IFERROR(VLOOKUP(K96,$P$5:$Q$15,2,FALSE),"현금·선물"))</f>
        <v/>
      </c>
    </row>
    <row r="97">
      <c r="H97" s="6" t="inlineStr">
        <is>
          <t>THFF</t>
        </is>
      </c>
      <c r="I97" s="61" t="n">
        <v>0.00019569</v>
      </c>
      <c r="J97" s="6" t="inlineStr">
        <is>
          <t>FIRST FINANCIAL CORPORATION CORP</t>
        </is>
      </c>
      <c r="K97" s="6" t="inlineStr">
        <is>
          <t>Financials</t>
        </is>
      </c>
      <c r="L97" s="6" t="inlineStr"/>
      <c r="M97" s="7">
        <f>IF(H97="","",IFERROR(VLOOKUP(K97,$P$5:$Q$15,2,FALSE),"현금·선물"))</f>
        <v/>
      </c>
    </row>
    <row r="98">
      <c r="H98" s="6" t="inlineStr">
        <is>
          <t>VRTS</t>
        </is>
      </c>
      <c r="I98" s="61" t="n">
        <v>0.00017441</v>
      </c>
      <c r="J98" s="6" t="inlineStr">
        <is>
          <t>VIRTUS INVESTMENT PARTNERS</t>
        </is>
      </c>
      <c r="K98" s="6" t="inlineStr">
        <is>
          <t>Financials</t>
        </is>
      </c>
      <c r="L98" s="6" t="inlineStr"/>
      <c r="M98" s="7">
        <f>IF(H98="","",IFERROR(VLOOKUP(K98,$P$5:$Q$15,2,FALSE),"현금·선물"))</f>
        <v/>
      </c>
    </row>
    <row r="99">
      <c r="H99" s="6" t="inlineStr">
        <is>
          <t>CCBG</t>
        </is>
      </c>
      <c r="I99" s="61" t="n">
        <v>0.00016544</v>
      </c>
      <c r="J99" s="6" t="inlineStr">
        <is>
          <t>CAPITAL CITY BANK INC</t>
        </is>
      </c>
      <c r="K99" s="6" t="inlineStr">
        <is>
          <t>Financials</t>
        </is>
      </c>
      <c r="L99" s="6" t="inlineStr"/>
      <c r="M99" s="7">
        <f>IF(H99="","",IFERROR(VLOOKUP(K99,$P$5:$Q$15,2,FALSE),"현금·선물"))</f>
        <v/>
      </c>
    </row>
    <row r="100">
      <c r="H100" s="6" t="inlineStr">
        <is>
          <t>EBF</t>
        </is>
      </c>
      <c r="I100" s="61" t="n">
        <v>0.00012952</v>
      </c>
      <c r="J100" s="6" t="inlineStr">
        <is>
          <t>ENNIS INC</t>
        </is>
      </c>
      <c r="K100" s="6" t="inlineStr">
        <is>
          <t>Industrials</t>
        </is>
      </c>
      <c r="L100" s="6" t="inlineStr"/>
      <c r="M100" s="7">
        <f>IF(H100="","",IFERROR(VLOOKUP(K100,$P$5:$Q$15,2,FALSE),"현금·선물"))</f>
        <v/>
      </c>
    </row>
    <row r="101">
      <c r="H101" s="6" t="inlineStr">
        <is>
          <t>AMSF</t>
        </is>
      </c>
      <c r="I101" s="61" t="n">
        <v>0.00011666</v>
      </c>
      <c r="J101" s="6" t="inlineStr">
        <is>
          <t>AMERISAFE INC</t>
        </is>
      </c>
      <c r="K101" s="6" t="inlineStr">
        <is>
          <t>Financials</t>
        </is>
      </c>
      <c r="L101" s="6" t="inlineStr"/>
      <c r="M101" s="7">
        <f>IF(H101="","",IFERROR(VLOOKUP(K101,$P$5:$Q$15,2,FALSE),"현금·선물"))</f>
        <v/>
      </c>
    </row>
    <row r="102">
      <c r="H102" s="6" t="inlineStr">
        <is>
          <t>ETD</t>
        </is>
      </c>
      <c r="I102" s="61" t="n">
        <v>9.779e-05</v>
      </c>
      <c r="J102" s="6" t="inlineStr">
        <is>
          <t>ETHAN ALLEN INTERIORS</t>
        </is>
      </c>
      <c r="K102" s="6" t="inlineStr">
        <is>
          <t>Consumer Discretionary</t>
        </is>
      </c>
      <c r="L102" s="6" t="inlineStr"/>
      <c r="M102" s="7">
        <f>IF(H102="","",IFERROR(VLOOKUP(K102,$P$5:$Q$15,2,FALSE),"현금·선물"))</f>
        <v/>
      </c>
    </row>
    <row r="103">
      <c r="H103" s="6" t="inlineStr">
        <is>
          <t>OXM</t>
        </is>
      </c>
      <c r="I103" s="61" t="n">
        <v>9.221e-05</v>
      </c>
      <c r="J103" s="6" t="inlineStr">
        <is>
          <t>OXFORD INDUSTRIES INC</t>
        </is>
      </c>
      <c r="K103" s="6" t="inlineStr">
        <is>
          <t>Consumer Discretionary</t>
        </is>
      </c>
      <c r="L103" s="6" t="inlineStr"/>
      <c r="M103" s="7">
        <f>IF(H103="","",IFERROR(VLOOKUP(K103,$P$5:$Q$15,2,FALSE),"현금·선물"))</f>
        <v/>
      </c>
    </row>
    <row r="104">
      <c r="H104" s="6" t="inlineStr">
        <is>
          <t>USD</t>
        </is>
      </c>
      <c r="I104" s="61" t="n">
        <v>9.174e-05</v>
      </c>
      <c r="J104" s="6" t="inlineStr">
        <is>
          <t>US DOLLAR</t>
        </is>
      </c>
      <c r="K104" s="6" t="inlineStr"/>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2026-10-20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7.1037</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10.0735</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11.9068</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13.9255</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14.4593</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11.9338</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21.5029</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25.658</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46315</v>
      </c>
      <c r="C182" s="76" t="n">
        <v>34.69</v>
      </c>
      <c r="D182" s="77" t="n">
        <v>34.69</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2026-10-24T01:46:17Z</dcterms:created>
  <dcterms:modified xmlns:dcterms="http://purl.org/dc/terms/" xmlns:xsi="http://www.w3.org/2001/XMLSchema-instance" xsi:type="dcterms:W3CDTF">2026-10-24T01:46:17Z</dcterms:modified>
</cp:coreProperties>
</file>