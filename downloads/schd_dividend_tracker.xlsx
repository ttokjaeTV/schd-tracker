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최신분기_요약" sheetId="2" state="visible" r:id="rId2"/>
    <sheet xmlns:r="http://schemas.openxmlformats.org/officeDocument/2006/relationships" name="SCHD_배당" sheetId="3" state="visible" r:id="rId3"/>
    <sheet xmlns:r="http://schemas.openxmlformats.org/officeDocument/2006/relationships" name="연도별" sheetId="4" state="visible" r:id="rId4"/>
    <sheet xmlns:r="http://schemas.openxmlformats.org/officeDocument/2006/relationships" name="분기표" sheetId="5" state="visible" r:id="rId5"/>
    <sheet xmlns:r="http://schemas.openxmlformats.org/officeDocument/2006/relationships" name="국내SCHD형_분배" sheetId="6" state="visible" r:id="rId6"/>
    <sheet xmlns:r="http://schemas.openxmlformats.org/officeDocument/2006/relationships" name="국내SCHD형_비교" sheetId="7" state="visible" r:id="rId7"/>
    <sheet xmlns:r="http://schemas.openxmlformats.org/officeDocument/2006/relationships" name="구성종목" sheetId="8" state="visible" r:id="rId8"/>
    <sheet xmlns:r="http://schemas.openxmlformats.org/officeDocument/2006/relationships" name="주가_월별" sheetId="9" state="visible" r:id="rId9"/>
    <sheet xmlns:r="http://schemas.openxmlformats.org/officeDocument/2006/relationships" name="차트데이터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0.0%"/>
    <numFmt numFmtId="165" formatCode="&quot;Q&quot;0"/>
    <numFmt numFmtId="166" formatCode="yyyy-mm-dd"/>
    <numFmt numFmtId="167" formatCode="$0.0000"/>
    <numFmt numFmtId="168" formatCode="$0.00"/>
    <numFmt numFmtId="169" formatCode="#,##0.0"/>
    <numFmt numFmtId="170" formatCode="$0.0000;-$0.0000;-"/>
    <numFmt numFmtId="171" formatCode="0.00%;-0.00%;-"/>
    <numFmt numFmtId="172" formatCode="#,##0.0&quot;원&quot;;-#,##0.0&quot;원&quot;;-"/>
    <numFmt numFmtId="173" formatCode="0&quot;년&quot;"/>
    <numFmt numFmtId="174" formatCode="0.0000%"/>
    <numFmt numFmtId="175" formatCode="#,##0&quot;원&quot;;-#,##0&quot;원&quot;;-"/>
    <numFmt numFmtId="176" formatCode="+0.00%;-0.00%;0.00%"/>
    <numFmt numFmtId="177" formatCode="#,##0.0&quot;원&quot;"/>
    <numFmt numFmtId="178" formatCode="0&quot;년 연속&quot;"/>
    <numFmt numFmtId="179" formatCode="0.0000"/>
  </numFmts>
  <fonts count="9">
    <font>
      <name val="Calibri"/>
      <family val="2"/>
      <color theme="1"/>
      <sz val="11"/>
      <scheme val="minor"/>
    </font>
    <font>
      <name val="맑은 고딕"/>
      <b val="1"/>
      <color rgb="001F2A44"/>
      <sz val="14"/>
    </font>
    <font>
      <name val="맑은 고딕"/>
      <color rgb="00666666"/>
      <sz val="9"/>
    </font>
    <font>
      <name val="맑은 고딕"/>
      <b val="1"/>
      <sz val="10"/>
    </font>
    <font>
      <name val="맑은 고딕"/>
      <sz val="10"/>
    </font>
    <font>
      <name val="맑은 고딕"/>
      <color rgb="000000FF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9DB"/>
      </patternFill>
    </fill>
    <fill>
      <patternFill patternType="solid">
        <fgColor rgb="001F2A44"/>
      </patternFill>
    </fill>
    <fill>
      <patternFill patternType="solid">
        <fgColor rgb="00FBEFDF"/>
      </patternFill>
    </fill>
    <fill>
      <patternFill patternType="solid">
        <fgColor rgb="005E6E78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5" fillId="3" borderId="0" pivotButton="0" quotePrefix="0" xfId="0"/>
    <xf numFmtId="0" fontId="6" fillId="0" borderId="0" pivotButton="0" quotePrefix="0" xfId="0"/>
    <xf numFmtId="0" fontId="5" fillId="2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8" fillId="0" borderId="0" pivotButton="0" quotePrefix="0" xfId="0"/>
    <xf numFmtId="0" fontId="4" fillId="0" borderId="1" pivotButton="0" quotePrefix="0" xfId="0"/>
    <xf numFmtId="1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70" fontId="6" fillId="0" borderId="1" applyAlignment="1" pivotButton="0" quotePrefix="0" xfId="0">
      <alignment horizontal="right" vertical="center"/>
    </xf>
    <xf numFmtId="176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horizontal="right" vertical="center"/>
    </xf>
    <xf numFmtId="177" fontId="6" fillId="0" borderId="1" applyAlignment="1" pivotButton="0" quotePrefix="0" xfId="0">
      <alignment horizontal="right" vertical="center"/>
    </xf>
    <xf numFmtId="172" fontId="6" fillId="0" borderId="1" applyAlignment="1" pivotButton="0" quotePrefix="0" xfId="0">
      <alignment horizontal="right" vertical="center"/>
    </xf>
    <xf numFmtId="178" fontId="6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6" fontId="5" fillId="3" borderId="1" pivotButton="0" quotePrefix="0" xfId="0"/>
    <xf numFmtId="167" fontId="5" fillId="3" borderId="1" pivotButton="0" quotePrefix="0" xfId="0"/>
    <xf numFmtId="170" fontId="6" fillId="0" borderId="1" pivotButton="0" quotePrefix="0" xfId="0"/>
    <xf numFmtId="171" fontId="6" fillId="0" borderId="1" pivotButton="0" quotePrefix="0" xfId="0"/>
    <xf numFmtId="168" fontId="5" fillId="3" borderId="1" pivotButton="0" quotePrefix="0" xfId="0"/>
    <xf numFmtId="169" fontId="5" fillId="3" borderId="1" pivotButton="0" quotePrefix="0" xfId="0"/>
    <xf numFmtId="172" fontId="6" fillId="0" borderId="1" pivotButton="0" quotePrefix="0" xfId="0"/>
    <xf numFmtId="0" fontId="5" fillId="3" borderId="1" pivotButton="0" quotePrefix="0" xfId="0"/>
    <xf numFmtId="0" fontId="7" fillId="6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70" fontId="6" fillId="5" borderId="1" pivotButton="0" quotePrefix="0" xfId="0"/>
    <xf numFmtId="171" fontId="6" fillId="5" borderId="1" pivotButton="0" quotePrefix="0" xfId="0"/>
    <xf numFmtId="170" fontId="2" fillId="0" borderId="0" pivotButton="0" quotePrefix="0" xfId="0"/>
    <xf numFmtId="171" fontId="2" fillId="0" borderId="0" pivotButton="0" quotePrefix="0" xfId="0"/>
    <xf numFmtId="1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73" fontId="6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6" fillId="0" borderId="1" pivotButton="0" quotePrefix="0" xfId="0"/>
    <xf numFmtId="49" fontId="5" fillId="3" borderId="1" pivotButton="0" quotePrefix="0" xfId="0"/>
    <xf numFmtId="3" fontId="5" fillId="3" borderId="1" pivotButton="0" quotePrefix="0" xfId="0"/>
    <xf numFmtId="10" fontId="5" fillId="3" borderId="1" pivotButton="0" quotePrefix="0" xfId="0"/>
    <xf numFmtId="166" fontId="5" fillId="2" borderId="0" pivotButton="0" quotePrefix="0" xfId="0"/>
    <xf numFmtId="49" fontId="4" fillId="0" borderId="1" pivotButton="0" quotePrefix="0" xfId="0"/>
    <xf numFmtId="174" fontId="5" fillId="3" borderId="1" pivotButton="0" quotePrefix="0" xfId="0"/>
    <xf numFmtId="166" fontId="6" fillId="0" borderId="1" pivotButton="0" quotePrefix="0" xfId="0"/>
    <xf numFmtId="175" fontId="6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0" fontId="0" fillId="0" borderId="1" applyAlignment="1" pivotButton="0" quotePrefix="0" xfId="0">
      <alignment horizontal="center"/>
    </xf>
    <xf numFmtId="10" fontId="6" fillId="0" borderId="1" pivotButton="0" quotePrefix="0" xfId="0"/>
    <xf numFmtId="10" fontId="5" fillId="3" borderId="0" pivotButton="0" quotePrefix="0" xfId="0"/>
    <xf numFmtId="10" fontId="0" fillId="0" borderId="0" pivotButton="0" quotePrefix="0" xfId="0"/>
    <xf numFmtId="10" fontId="3" fillId="0" borderId="0" pivotButton="0" quotePrefix="0" xfId="0"/>
    <xf numFmtId="1" fontId="0" fillId="0" borderId="0" pivotButton="0" quotePrefix="0" xfId="0"/>
    <xf numFmtId="168" fontId="5" fillId="0" borderId="1" pivotButton="0" quotePrefix="0" xfId="0"/>
    <xf numFmtId="179" fontId="5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분기 배당 (USD) · 진한색 확정 / 연한색 예상 / 점선 전체 평균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'차트데이터'!D1</f>
            </strRef>
          </tx>
          <spPr>
            <a:solidFill xmlns:a="http://schemas.openxmlformats.org/drawingml/2006/main">
              <a:srgbClr val="C98A3A"/>
            </a:solidFill>
            <a:ln xmlns:a="http://schemas.openxmlformats.org/drawingml/2006/main">
              <a:solidFill>
                <a:srgbClr val="C98A3A"/>
              </a:solidFill>
              <a:prstDash val="solid"/>
            </a:ln>
          </spPr>
          <cat>
            <numRef>
              <f>'차트데이터'!$C$2:$C$61</f>
            </numRef>
          </cat>
          <val>
            <numRef>
              <f>'차트데이터'!$D$2:$D$61</f>
            </numRef>
          </val>
        </ser>
        <ser>
          <idx val="1"/>
          <order val="1"/>
          <tx>
            <strRef>
              <f>'차트데이터'!E1</f>
            </strRef>
          </tx>
          <spPr>
            <a:solidFill xmlns:a="http://schemas.openxmlformats.org/drawingml/2006/main">
              <a:srgbClr val="F1D9B5"/>
            </a:solidFill>
            <a:ln xmlns:a="http://schemas.openxmlformats.org/drawingml/2006/main">
              <a:solidFill>
                <a:srgbClr val="A8661B"/>
              </a:solidFill>
              <a:prstDash val="dash"/>
            </a:ln>
          </spPr>
          <cat>
            <numRef>
              <f>'차트데이터'!$C$2:$C$61</f>
            </numRef>
          </cat>
          <val>
            <numRef>
              <f>'차트데이터'!$E$2:$E$61</f>
            </numRef>
          </val>
        </ser>
        <gapWidth val="40"/>
        <overlap val="100"/>
        <axId val="10"/>
        <axId val="100"/>
      </barChart>
      <lineChart>
        <grouping val="standard"/>
        <ser>
          <idx val="2"/>
          <order val="2"/>
          <tx>
            <strRef>
              <f>'차트데이터'!F1</f>
            </strRef>
          </tx>
          <spPr>
            <a:ln xmlns:a="http://schemas.openxmlformats.org/drawingml/2006/main" w="22000">
              <a:solidFill>
                <a:srgbClr val="2F5D8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'차트데이터'!$C$2:$C$61</f>
            </numRef>
          </cat>
          <val>
            <numRef>
              <f>'차트데이터'!$F$2:$F$61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4"/>
      </catAx>
      <valAx>
        <axId val="100"/>
        <scaling>
          <orientation val="minMax"/>
        </scaling>
        <delete val="0"/>
        <axPos val="l"/>
        <majorGridlines/>
        <numFmt formatCode="$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연간 배당 (USD) · 진한색 확정 / 연한색 예상 / 점선 전체 평균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'연도별'!N1</f>
            </strRef>
          </tx>
          <spPr>
            <a:solidFill xmlns:a="http://schemas.openxmlformats.org/drawingml/2006/main">
              <a:srgbClr val="C98A3A"/>
            </a:solidFill>
            <a:ln xmlns:a="http://schemas.openxmlformats.org/drawingml/2006/main">
              <a:solidFill>
                <a:srgbClr val="C98A3A"/>
              </a:solidFill>
              <a:prstDash val="solid"/>
            </a:ln>
          </spPr>
          <cat>
            <numRef>
              <f>'연도별'!$M$2:$M$16</f>
            </numRef>
          </cat>
          <val>
            <numRef>
              <f>'연도별'!$N$2:$N$16</f>
            </numRef>
          </val>
        </ser>
        <ser>
          <idx val="1"/>
          <order val="1"/>
          <tx>
            <strRef>
              <f>'연도별'!O1</f>
            </strRef>
          </tx>
          <spPr>
            <a:solidFill xmlns:a="http://schemas.openxmlformats.org/drawingml/2006/main">
              <a:srgbClr val="F1D9B5"/>
            </a:solidFill>
            <a:ln xmlns:a="http://schemas.openxmlformats.org/drawingml/2006/main">
              <a:solidFill>
                <a:srgbClr val="A8661B"/>
              </a:solidFill>
              <a:prstDash val="dash"/>
            </a:ln>
          </spPr>
          <cat>
            <numRef>
              <f>'연도별'!$M$2:$M$16</f>
            </numRef>
          </cat>
          <val>
            <numRef>
              <f>'연도별'!$O$2:$O$16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strRef>
              <f>'연도별'!R1</f>
            </strRef>
          </tx>
          <spPr>
            <a:ln xmlns:a="http://schemas.openxmlformats.org/drawingml/2006/main" w="22000">
              <a:solidFill>
                <a:srgbClr val="2F5D8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'연도별'!$M$2:$M$16</f>
            </numRef>
          </cat>
          <val>
            <numRef>
              <f>'연도별'!$R$2:$R$16</f>
            </numRef>
          </val>
          <smooth val="0"/>
        </ser>
        <axId val="10"/>
        <axId val="100"/>
      </lineChart>
      <lineChart>
        <grouping val="standard"/>
        <ser>
          <idx val="3"/>
          <order val="3"/>
          <tx>
            <strRef>
              <f>'연도별'!T1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$0.0000"/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'연도별'!$M$2:$M$16</f>
            </numRef>
          </cat>
          <val>
            <numRef>
              <f>'연도별'!$T$2:$T$16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$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연간 배당 성장률 · 진한색 확정 / 연한색 예상 / 점선 전체 평균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'연도별'!P1</f>
            </strRef>
          </tx>
          <spPr>
            <a:solidFill xmlns:a="http://schemas.openxmlformats.org/drawingml/2006/main">
              <a:srgbClr val="17784A"/>
            </a:solidFill>
            <a:ln xmlns:a="http://schemas.openxmlformats.org/drawingml/2006/main">
              <a:solidFill>
                <a:srgbClr val="17784A"/>
              </a:solidFill>
              <a:prstDash val="solid"/>
            </a:ln>
          </spPr>
          <cat>
            <numRef>
              <f>'연도별'!$M$2:$M$16</f>
            </numRef>
          </cat>
          <val>
            <numRef>
              <f>'연도별'!$P$2:$P$16</f>
            </numRef>
          </val>
        </ser>
        <ser>
          <idx val="1"/>
          <order val="1"/>
          <tx>
            <strRef>
              <f>'연도별'!Q1</f>
            </strRef>
          </tx>
          <spPr>
            <a:solidFill xmlns:a="http://schemas.openxmlformats.org/drawingml/2006/main">
              <a:srgbClr val="F1D9B5"/>
            </a:solidFill>
            <a:ln xmlns:a="http://schemas.openxmlformats.org/drawingml/2006/main">
              <a:solidFill>
                <a:srgbClr val="A8661B"/>
              </a:solidFill>
              <a:prstDash val="dash"/>
            </a:ln>
          </spPr>
          <cat>
            <numRef>
              <f>'연도별'!$M$2:$M$16</f>
            </numRef>
          </cat>
          <val>
            <numRef>
              <f>'연도별'!$Q$2:$Q$16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strRef>
              <f>'연도별'!S1</f>
            </strRef>
          </tx>
          <spPr>
            <a:ln xmlns:a="http://schemas.openxmlformats.org/drawingml/2006/main" w="22000">
              <a:solidFill>
                <a:srgbClr val="2F5D8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'연도별'!$M$2:$M$16</f>
            </numRef>
          </cat>
          <val>
            <numRef>
              <f>'연도별'!$S$2:$S$16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TOP10 + 기타 (합계 100%)</a:t>
            </a:r>
          </a:p>
        </rich>
      </tx>
    </title>
    <plotArea>
      <doughnutChart>
        <varyColors val="1"/>
        <ser>
          <idx val="0"/>
          <order val="0"/>
          <tx>
            <strRef>
              <f>'구성종목'!E4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8661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0B36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F5D8A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F7FAF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86A9CC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17784A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4E9E7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CC3A2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7A5C8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C9D1D6"/>
              </a:solidFill>
              <a:ln xmlns:a="http://schemas.openxmlformats.org/drawingml/2006/main"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'구성종목'!$C$5:$C$15</f>
            </numRef>
          </cat>
          <val>
            <numRef>
              <f>'구성종목'!$E$5:$E$15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월말 종가 (USD)</a:t>
            </a:r>
          </a:p>
        </rich>
      </tx>
    </title>
    <plotArea>
      <lineChart>
        <grouping val="standard"/>
        <ser>
          <idx val="0"/>
          <order val="0"/>
          <tx>
            <strRef>
              <f>'주가_월별'!C1</f>
            </strRef>
          </tx>
          <spPr>
            <a:ln xmlns:a="http://schemas.openxmlformats.org/drawingml/2006/main" w="19000">
              <a:solidFill>
                <a:srgbClr val="16232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'주가_월별'!$A$2:$A$182</f>
            </numRef>
          </cat>
          <val>
            <numRef>
              <f>'주가_월별'!$C$2:$C$182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numFmt formatCode="$0" sourceLinked="0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C6" authorId="0" shapeId="0">
      <text>
        <t>미국 상장 ETF 배당: 한국 거주자는 미국에서 15% 원천징수 (한미 조세조약). 국내 추가 원천징수 없음, 금융소득종합과세(연 2,000만원 초과) 합산 대상.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E1" authorId="0" shapeId="0">
      <text>
        <t>운용사(Schwab) 공시 금액 그대로 입력. 분할 전 배당은 분할 전 1주 기준 금액입니다.</t>
      </text>
    </comment>
    <comment ref="F1" authorId="0" shapeId="0">
      <text>
        <t>2024-10-11 3:1 분할 이전 배당은 ÷3. 앞으로 분할이 또 생기면 이 열의 날짜 조건을 수정하세요.</t>
      </text>
    </comment>
    <comment ref="M1" authorId="0" shapeId="0">
      <text>
        <t>지급일 하나은행 매매기준율(최종 회차). 실제 입금 환율은 증권사·지급 시점에 따라 다릅니다.</t>
      </text>
    </comment>
    <comment ref="O1" authorId="0" shapeId="0">
      <text>
        <t>미국 원천징수율은 [사용법] C6 칸에서 변경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F1" authorId="0" shapeId="0">
      <text>
        <t>2012년(첫 전체 연도)부터 전년 대비 증가가 이어진 햇수</t>
      </text>
    </comment>
    <comment ref="H1" authorId="0" shapeId="0">
      <text>
        <t>각 분기 지급일 환율로 환산한 세전 원화 합계</t>
      </text>
    </comment>
    <comment ref="I1" authorId="0" shapeId="0">
      <text>
        <t>진행 중인 해의 미지급 분기를, 그해 이미 확정된 분기 배당의 단순 평균으로 채운 값 (예측치)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C1" authorId="0" shapeId="0">
      <text>
        <t>분배금 지급 기준일(권리 확정일). 출처: FunETF 분배 이력</t>
      </text>
    </comment>
    <comment ref="E1" authorId="0" shapeId="0">
      <text>
        <t>기준일 가격 대비 1회 분배율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</row>
      <rowOff>0</rowOff>
    </from>
    <ext cx="108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21</col>
      <colOff>0</colOff>
      <row>21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18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2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0" customWidth="1" min="3" max="3"/>
  </cols>
  <sheetData>
    <row r="2">
      <c r="B2" s="1" t="inlineStr">
        <is>
          <t>SCHD 배당 트래커 (마스터)</t>
        </is>
      </c>
    </row>
    <row r="3">
      <c r="B3" s="2" t="inlineStr">
        <is>
          <t>최종 갱신: 2026-10-09 · 반영 범위: 2012년 1분기 ~ 2026년 3분기 (배당락 2026-09-23) · GitHub Actions 자동 생성</t>
        </is>
      </c>
    </row>
    <row r="5">
      <c r="B5" s="3" t="inlineStr">
        <is>
          <t>설정값</t>
        </is>
      </c>
    </row>
    <row r="6">
      <c r="B6" s="4" t="inlineStr">
        <is>
          <t>미국 원천징수율</t>
        </is>
      </c>
      <c r="C6" s="5" t="n">
        <v>0.15</v>
      </c>
    </row>
    <row r="8">
      <c r="B8" s="3" t="inlineStr">
        <is>
          <t>색상 규칙</t>
        </is>
      </c>
    </row>
    <row r="9">
      <c r="B9" s="6" t="inlineStr">
        <is>
          <t>파란 글씨 + 연노랑 칸</t>
        </is>
      </c>
      <c r="C9" s="4" t="inlineStr">
        <is>
          <t>직접 입력하는 값 (공시 배당금·날짜·종가·환율·분배금)</t>
        </is>
      </c>
    </row>
    <row r="10">
      <c r="B10" s="7" t="inlineStr">
        <is>
          <t>검정 글씨</t>
        </is>
      </c>
      <c r="C10" s="4" t="inlineStr">
        <is>
          <t>수식 — 건드리지 마세요. 자동 계산됩니다</t>
        </is>
      </c>
    </row>
    <row r="11">
      <c r="B11" s="8" t="inlineStr">
        <is>
          <t>노란 칸</t>
        </is>
      </c>
      <c r="C11" s="4" t="inlineStr">
        <is>
          <t>핵심 설정값</t>
        </is>
      </c>
    </row>
    <row r="13">
      <c r="B13" s="3" t="inlineStr">
        <is>
          <t>분기 갱신 절차 (5분)</t>
        </is>
      </c>
    </row>
    <row r="14" ht="32" customHeight="1">
      <c r="B14" s="4" t="inlineStr">
        <is>
          <t>① SCHD 배당 입력</t>
        </is>
      </c>
      <c r="C14" s="9" t="inlineStr">
        <is>
          <t>[SCHD_배당] 시트 맨 아래 빈 줄(수식이 미리 깔린 줄)에 C~E, K, M, P 열만 입력합니다.
  C 배당락일 · D 지급일 · E 공시 배당금 · K 배당락일 종가 · M 지급일 환율 · P 출처</t>
        </is>
      </c>
    </row>
    <row r="15" ht="18" customHeight="1">
      <c r="B15" s="4" t="inlineStr">
        <is>
          <t>② 국내 SCHD형 분배 입력</t>
        </is>
      </c>
      <c r="C15" s="9" t="inlineStr">
        <is>
          <t>[국내SCHD형_분배] 시트 맨 아래에 4종목의 월 분배금 3개월치를 붙여넣습니다 (종목코드·종목명·기준일·분배금·분배율).</t>
        </is>
      </c>
    </row>
    <row r="16" ht="18" customHeight="1">
      <c r="B16" s="4" t="inlineStr">
        <is>
          <t>③ 비교 기준일 변경</t>
        </is>
      </c>
      <c r="C16" s="9" t="inlineStr">
        <is>
          <t>[국내SCHD형_비교] B3 칸의 기준일을 분기 말일로 바꿉니다 (자동 생성 시 최신 분배월 말일로 맞춰짐).</t>
        </is>
      </c>
    </row>
    <row r="17" ht="18" customHeight="1">
      <c r="B17" s="4" t="inlineStr">
        <is>
          <t>④ 결과 확인</t>
        </is>
      </c>
      <c r="C17" s="9" t="inlineStr">
        <is>
          <t>[최신분기_요약] 시트가 자동으로 최신 분기 기준으로 바뀝니다. 카페 글 숫자는 여기서 가져가면 됩니다.</t>
        </is>
      </c>
    </row>
    <row r="18" ht="18" customHeight="1">
      <c r="B18" s="4" t="inlineStr">
        <is>
          <t>⑤ 파일명</t>
        </is>
      </c>
      <c r="C18" s="9" t="inlineStr">
        <is>
          <t>SCHD_배당트래커_YY년N분기_YYMMDD.xlsx 형식으로 저장</t>
        </is>
      </c>
    </row>
    <row r="20">
      <c r="B20" s="3" t="inlineStr">
        <is>
          <t>데이터 출처</t>
        </is>
      </c>
    </row>
    <row r="21">
      <c r="B21" s="4" t="inlineStr">
        <is>
          <t>SCHD 배당 (2016.12~)</t>
        </is>
      </c>
      <c r="C21" s="10" t="inlineStr">
        <is>
          <t>Schwab Asset Management 공식 분배 내역 CSV — schwabassetmanagement.com/products/schd (Distributions → Export Data)</t>
        </is>
      </c>
    </row>
    <row r="22">
      <c r="B22" s="4" t="inlineStr">
        <is>
          <t>SCHD 배당 (2012~2016.09)</t>
        </is>
      </c>
      <c r="C22" s="10" t="inlineStr">
        <is>
          <t>dividendhistory.net 원배당(Unadjusted) — Schwab CSV가 2016.12부터만 제공. Yahoo Finance 분할조정값과 교차 확인</t>
        </is>
      </c>
    </row>
    <row r="23">
      <c r="B23" s="4" t="inlineStr">
        <is>
          <t>배당락일 종가</t>
        </is>
      </c>
      <c r="C23" s="10" t="inlineStr">
        <is>
          <t>Yahoo Finance 일별 종가 (2024.10.11 3:1 분할 반영, 배당 미조정)</t>
        </is>
      </c>
    </row>
    <row r="24">
      <c r="B24" s="4" t="inlineStr">
        <is>
          <t>지급일 환율</t>
        </is>
      </c>
      <c r="C24" s="10" t="inlineStr">
        <is>
          <t>하나은행 고시 매매기준율 (다음금융 일별 환율, 지급일 당일 최종 회차)</t>
        </is>
      </c>
    </row>
    <row r="25">
      <c r="B25" s="4" t="inlineStr">
        <is>
          <t>국내 SCHD형 분배금</t>
        </is>
      </c>
      <c r="C25" s="10" t="inlineStr">
        <is>
          <t>FunETF 분배금 이력 (기준일·분배금·분배율) — 운용사 공시와 같은 원천</t>
        </is>
      </c>
    </row>
    <row r="26">
      <c r="B26" s="4" t="inlineStr">
        <is>
          <t>총보수</t>
        </is>
      </c>
      <c r="C26" s="10" t="inlineStr">
        <is>
          <t>KOFIA 금융투자협회 공시 2026-08-31</t>
        </is>
      </c>
    </row>
    <row r="28">
      <c r="B28" s="3" t="inlineStr">
        <is>
          <t>알아둘 점</t>
        </is>
      </c>
    </row>
    <row r="29">
      <c r="B29" s="4" t="inlineStr">
        <is>
          <t>· 2024-10-11 SCHD 3:1 주식분할. 그 이전 배당은 공시 금액 ÷ 3 으로 환산해 지금 1주 기준으로 맞춥니다 (F열 자동).</t>
        </is>
      </c>
    </row>
    <row r="30">
      <c r="B30" s="4" t="inlineStr">
        <is>
          <t>· 연간 성장률은 4회 배당이 모두 확정된 해만 계산합니다. 진행 중인 해는 [연도별] 시트의 '올해 누적 vs 작년 동기'로 봅니다.</t>
        </is>
      </c>
    </row>
    <row r="31">
      <c r="B31" s="4" t="inlineStr">
        <is>
          <t>· '평균 성장률(산술)'과 'CAGR(연평균 복리)'은 다른 숫자입니다. 글에 쓸 때 용어를 구분하세요.</t>
        </is>
      </c>
    </row>
    <row r="32">
      <c r="B32" s="4" t="inlineStr">
        <is>
          <t>· 진행 중인 해의 남은 분기 '예상' 값은 그해 확정 분기의 단순 평균입니다. 과거 14년 중 13년은 4분기가 1~3분기 평균보다 높았으니(보통 +8~16%) 연간 예상치는 보수적(낮게) 나올 가능성이 큽니다.</t>
        </is>
      </c>
    </row>
    <row r="33">
      <c r="B33" s="4" t="inlineStr">
        <is>
          <t>· 이 파일은 GitHub에서 새 배당이 반영될 때마다 다시 만들어집니다(차트 범위도 자동). 손으로 고친 내용은 다음 생성 때 덮어써지니, 고칠 값은 data 폴더 JSON에서 고치세요.</t>
        </is>
      </c>
    </row>
    <row r="34">
      <c r="B34" s="4" t="inlineStr">
        <is>
          <t>· 국내 SCHD형 ETF 분배율은 매월 기준일 가격 대비 분배율을 12개월 합산한 값입니다(근사치).</t>
        </is>
      </c>
    </row>
  </sheetData>
  <mergeCells count="6">
    <mergeCell ref="B30:C30"/>
    <mergeCell ref="B29:C29"/>
    <mergeCell ref="B33:C33"/>
    <mergeCell ref="B34:C34"/>
    <mergeCell ref="B32:C32"/>
    <mergeCell ref="B31:C3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50" customWidth="1" min="3" max="3"/>
  </cols>
  <sheetData>
    <row r="1">
      <c r="A1" s="1" t="inlineStr">
        <is>
          <t>SCHD 최신 분기 요약 (카페 글용 숫자)</t>
        </is>
      </c>
    </row>
    <row r="2">
      <c r="A2" s="2" t="inlineStr">
        <is>
          <t>[SCHD_배당]에 새 분기를 입력하면 자동으로 바뀝니다.</t>
        </is>
      </c>
    </row>
    <row r="3">
      <c r="A3" s="11" t="inlineStr">
        <is>
          <t>최신 배당</t>
        </is>
      </c>
    </row>
    <row r="4">
      <c r="A4" s="12" t="inlineStr">
        <is>
          <t>연도</t>
        </is>
      </c>
      <c r="B4" s="13">
        <f>INDEX(SCHD_배당!$A:$A,(COUNT(SCHD_배당!$C$2:$C$90)+1))</f>
        <v/>
      </c>
    </row>
    <row r="5">
      <c r="A5" s="12" t="inlineStr">
        <is>
          <t>분기</t>
        </is>
      </c>
      <c r="B5" s="14">
        <f>INDEX(SCHD_배당!$B:$B,(COUNT(SCHD_배당!$C$2:$C$90)+1))</f>
        <v/>
      </c>
    </row>
    <row r="6">
      <c r="A6" s="12" t="inlineStr">
        <is>
          <t>배당락일</t>
        </is>
      </c>
      <c r="B6" s="15">
        <f>INDEX(SCHD_배당!$C:$C,(COUNT(SCHD_배당!$C$2:$C$90)+1))</f>
        <v/>
      </c>
    </row>
    <row r="7">
      <c r="A7" s="12" t="inlineStr">
        <is>
          <t>지급일</t>
        </is>
      </c>
      <c r="B7" s="15">
        <f>INDEX(SCHD_배당!$D:$D,(COUNT(SCHD_배당!$C$2:$C$90)+1))</f>
        <v/>
      </c>
    </row>
    <row r="8">
      <c r="A8" s="12" t="inlineStr">
        <is>
          <t>배당금 (USD)</t>
        </is>
      </c>
      <c r="B8" s="16">
        <f>INDEX(SCHD_배당!$G:$G,(COUNT(SCHD_배당!$C$2:$C$90)+1))</f>
        <v/>
      </c>
    </row>
    <row r="9">
      <c r="A9" s="12" t="inlineStr">
        <is>
          <t>전분기 대비</t>
        </is>
      </c>
      <c r="B9" s="17">
        <f>INDEX(SCHD_배당!$H:$H,(COUNT(SCHD_배당!$C$2:$C$90)+1))</f>
        <v/>
      </c>
      <c r="C9" s="2" t="inlineStr">
        <is>
          <t>+면 인상, −면 인하</t>
        </is>
      </c>
    </row>
    <row r="10">
      <c r="A10" s="12" t="inlineStr">
        <is>
          <t>전년 동기 대비</t>
        </is>
      </c>
      <c r="B10" s="17">
        <f>INDEX(SCHD_배당!$I:$I,(COUNT(SCHD_배당!$C$2:$C$90)+1))</f>
        <v/>
      </c>
    </row>
    <row r="11">
      <c r="A11" s="12" t="inlineStr">
        <is>
          <t>전년 동기 배당금 (USD)</t>
        </is>
      </c>
      <c r="B11" s="16">
        <f>INDEX(SCHD_배당!$G:$G,(COUNT(SCHD_배당!$C$2:$C$90)+1)-4)</f>
        <v/>
      </c>
    </row>
    <row r="12">
      <c r="A12" s="12" t="inlineStr">
        <is>
          <t>최근 4회 합계 TTM (USD)</t>
        </is>
      </c>
      <c r="B12" s="16">
        <f>INDEX(SCHD_배당!$J:$J,(COUNT(SCHD_배당!$C$2:$C$90)+1))</f>
        <v/>
      </c>
    </row>
    <row r="13">
      <c r="A13" s="12" t="inlineStr">
        <is>
          <t>배당락일 종가 (USD)</t>
        </is>
      </c>
      <c r="B13" s="18">
        <f>INDEX(SCHD_배당!$K:$K,(COUNT(SCHD_배당!$C$2:$C$90)+1))</f>
        <v/>
      </c>
    </row>
    <row r="14">
      <c r="A14" s="12" t="inlineStr">
        <is>
          <t>TTM 배당수익률</t>
        </is>
      </c>
      <c r="B14" s="19">
        <f>INDEX(SCHD_배당!$L:$L,(COUNT(SCHD_배당!$C$2:$C$90)+1))</f>
        <v/>
      </c>
    </row>
    <row r="15">
      <c r="A15" s="12" t="inlineStr">
        <is>
          <t>지급일 환율</t>
        </is>
      </c>
      <c r="B15" s="20">
        <f>INDEX(SCHD_배당!$M:$M,(COUNT(SCHD_배당!$C$2:$C$90)+1))</f>
        <v/>
      </c>
    </row>
    <row r="16">
      <c r="A16" s="12" t="inlineStr">
        <is>
          <t>1주 배당 원화 (세전)</t>
        </is>
      </c>
      <c r="B16" s="21">
        <f>INDEX(SCHD_배당!$N:$N,(COUNT(SCHD_배당!$C$2:$C$90)+1))</f>
        <v/>
      </c>
    </row>
    <row r="17">
      <c r="A17" s="12" t="inlineStr">
        <is>
          <t>1주 배당 원화 (미국 15% 원천징수 후)</t>
        </is>
      </c>
      <c r="B17" s="21">
        <f>INDEX(SCHD_배당!$O:$O,(COUNT(SCHD_배당!$C$2:$C$90)+1))</f>
        <v/>
      </c>
    </row>
    <row r="19">
      <c r="A19" s="11" t="inlineStr">
        <is>
          <t>올해 흐름</t>
        </is>
      </c>
    </row>
    <row r="20">
      <c r="A20" s="12" t="inlineStr">
        <is>
          <t>올해 누적 배당 (USD)</t>
        </is>
      </c>
      <c r="B20" s="16">
        <f>INDEX(연도별!$C$2:$C$21,MATCH(B4,연도별!$A$2:$A$21,0))</f>
        <v/>
      </c>
    </row>
    <row r="21">
      <c r="A21" s="12" t="inlineStr">
        <is>
          <t>작년 같은 기간 누적 (USD)</t>
        </is>
      </c>
      <c r="B21" s="16">
        <f>SUMIFS(SCHD_배당!$G$2:$G$90,SCHD_배당!$A$2:$A$90,B4-1,SCHD_배당!$B$2:$B$90,"&lt;="&amp;B5)</f>
        <v/>
      </c>
    </row>
    <row r="22">
      <c r="A22" s="12" t="inlineStr">
        <is>
          <t>올해 누적 vs 작년 동기</t>
        </is>
      </c>
      <c r="B22" s="17">
        <f>B20/B21-1</f>
        <v/>
      </c>
      <c r="C22" s="2" t="inlineStr">
        <is>
          <t>배당 횟수가 같은 기간끼리 비교</t>
        </is>
      </c>
    </row>
    <row r="24">
      <c r="A24" s="11" t="inlineStr">
        <is>
          <t>장기 성장</t>
        </is>
      </c>
    </row>
    <row r="25">
      <c r="A25" s="12" t="inlineStr">
        <is>
          <t>최근 확정연도</t>
        </is>
      </c>
      <c r="B25" s="13">
        <f>_xlfn.MAXIFS(연도별!$A$2:$A$21,연도별!$B$2:$B$21,"&gt;=4")</f>
        <v/>
      </c>
    </row>
    <row r="26">
      <c r="A26" s="12" t="inlineStr">
        <is>
          <t>그해 연간 배당 (USD)</t>
        </is>
      </c>
      <c r="B26" s="16">
        <f>INDEX(연도별!$C$2:$C$21,MATCH(B25,연도별!$A$2:$A$21,0))</f>
        <v/>
      </c>
    </row>
    <row r="27">
      <c r="A27" s="12" t="inlineStr">
        <is>
          <t>그해 성장률</t>
        </is>
      </c>
      <c r="B27" s="19">
        <f>INDEX(연도별!$E$2:$E$21,MATCH(B25,연도별!$A$2:$A$21,0))</f>
        <v/>
      </c>
    </row>
    <row r="28">
      <c r="A28" s="12" t="inlineStr">
        <is>
          <t>5년 CAGR</t>
        </is>
      </c>
      <c r="B28" s="19">
        <f>(B26/INDEX(연도별!$C$2:$C$21,MATCH(B25-5,연도별!$A$2:$A$21,0)))^(1/5)-1</f>
        <v/>
      </c>
    </row>
    <row r="29">
      <c r="A29" s="12" t="inlineStr">
        <is>
          <t>10년 CAGR</t>
        </is>
      </c>
      <c r="B29" s="19">
        <f>(B26/INDEX(연도별!$C$2:$C$21,MATCH(B25-10,연도별!$A$2:$A$21,0)))^(1/10)-1</f>
        <v/>
      </c>
    </row>
    <row r="30">
      <c r="A30" s="12" t="inlineStr">
        <is>
          <t>10년 평균 성장률 (산술)</t>
        </is>
      </c>
      <c r="B30" s="19">
        <f>AVERAGEIFS(연도별!$E$2:$E$21,연도별!$A$2:$A$21,"&gt;"&amp;(B25-10),연도별!$A$2:$A$21,"&lt;="&amp;B25)</f>
        <v/>
      </c>
    </row>
    <row r="31">
      <c r="A31" s="12" t="inlineStr">
        <is>
          <t>연간 배당 연속 증가 (2012년 이후 집계)</t>
        </is>
      </c>
      <c r="B31" s="22">
        <f>INDEX(연도별!$F$2:$F$21,MATCH(B25,연도별!$A$2:$A$21,0))</f>
        <v/>
      </c>
    </row>
    <row r="33">
      <c r="A33" s="11" t="inlineStr">
        <is>
          <t>공식 수익률 · 다음 배당</t>
        </is>
      </c>
    </row>
    <row r="34">
      <c r="A34" s="12" t="inlineStr">
        <is>
          <t>30일 SEC 수익률 (Schwab 공식)</t>
        </is>
      </c>
      <c r="B34" s="19" t="n">
        <v>0.0337</v>
      </c>
      <c r="C34" s="2" t="inlineStr">
        <is>
          <t>2026-10-07 기준 · 최근 30일 순투자수익(보수 차감) 연 환산</t>
        </is>
      </c>
    </row>
    <row r="35">
      <c r="A35" s="12" t="inlineStr">
        <is>
          <t>분배수익률 TTM (Schwab 공식)</t>
        </is>
      </c>
      <c r="B35" s="19" t="n">
        <v>0.03</v>
      </c>
      <c r="C35" s="2" t="inlineStr">
        <is>
          <t>2026-08-31 기준 · 최근 12개월 분배금 ÷ 기준일 NAV</t>
        </is>
      </c>
    </row>
    <row r="36">
      <c r="A36" s="12" t="inlineStr">
        <is>
          <t>다음 배당락일 (예정)</t>
        </is>
      </c>
      <c r="B36" s="15" t="n">
        <v>46365</v>
      </c>
      <c r="C36" s="2" t="inlineStr">
        <is>
          <t>2026년 4분기 · 금액 미발표 · Schwab 분배 일정 기준(변경 가능)</t>
        </is>
      </c>
    </row>
    <row r="37">
      <c r="A37" s="12" t="inlineStr">
        <is>
          <t>다음 지급일 (예정)</t>
        </is>
      </c>
      <c r="B37" s="15" t="n">
        <v>46370</v>
      </c>
    </row>
    <row r="38">
      <c r="A38" s="2" t="inlineStr">
        <is>
          <t>금액 출처: Schwab 공식 · 트래커 반영 2026-10-03 · 실제 세후 입금액은 증권사 거래내역 기준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1.5" customWidth="1" min="3" max="3"/>
    <col width="11.5" customWidth="1" min="4" max="4"/>
    <col width="13" customWidth="1" min="5" max="5"/>
    <col width="6" customWidth="1" min="6" max="6"/>
    <col width="13" customWidth="1" min="7" max="7"/>
    <col width="9" customWidth="1" min="8" max="8"/>
    <col width="9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12" customWidth="1" min="15" max="15"/>
    <col width="22" customWidth="1" min="16" max="16"/>
  </cols>
  <sheetData>
    <row r="1" ht="34" customHeight="1">
      <c r="A1" s="23" t="inlineStr">
        <is>
          <t>연도</t>
        </is>
      </c>
      <c r="B1" s="23" t="inlineStr">
        <is>
          <t>분기</t>
        </is>
      </c>
      <c r="C1" s="23" t="inlineStr">
        <is>
          <t>배당락일</t>
        </is>
      </c>
      <c r="D1" s="23" t="inlineStr">
        <is>
          <t>지급일</t>
        </is>
      </c>
      <c r="E1" s="23" t="inlineStr">
        <is>
          <t>공시 배당금
(USD, 당시 1주)</t>
        </is>
      </c>
      <c r="F1" s="23" t="inlineStr">
        <is>
          <t>분할
환산</t>
        </is>
      </c>
      <c r="G1" s="23" t="inlineStr">
        <is>
          <t>수정 배당금
(USD, 현재 1주)</t>
        </is>
      </c>
      <c r="H1" s="23" t="inlineStr">
        <is>
          <t>전분기
대비</t>
        </is>
      </c>
      <c r="I1" s="23" t="inlineStr">
        <is>
          <t>전년 동기
대비</t>
        </is>
      </c>
      <c r="J1" s="23" t="inlineStr">
        <is>
          <t>최근 4회
합계(TTM)</t>
        </is>
      </c>
      <c r="K1" s="23" t="inlineStr">
        <is>
          <t>배당락일
종가(USD)</t>
        </is>
      </c>
      <c r="L1" s="23" t="inlineStr">
        <is>
          <t>TTM
배당수익률</t>
        </is>
      </c>
      <c r="M1" s="23" t="inlineStr">
        <is>
          <t>지급일
환율(원)</t>
        </is>
      </c>
      <c r="N1" s="23" t="inlineStr">
        <is>
          <t>1주 배당
원화(세전)</t>
        </is>
      </c>
      <c r="O1" s="23" t="inlineStr">
        <is>
          <t>1주 배당
원화(미국15%후)</t>
        </is>
      </c>
      <c r="P1" s="23" t="inlineStr">
        <is>
          <t>출처</t>
        </is>
      </c>
    </row>
    <row r="2">
      <c r="A2" s="24">
        <f>IF($C2="","",YEAR($C2))</f>
        <v/>
      </c>
      <c r="B2" s="25">
        <f>IF($C2="","",ROUNDUP(MONTH($C2)/3,0))</f>
        <v/>
      </c>
      <c r="C2" s="26" t="n">
        <v>40987</v>
      </c>
      <c r="D2" s="26" t="n">
        <v>40991</v>
      </c>
      <c r="E2" s="27" t="n">
        <v>0.138</v>
      </c>
      <c r="F2" s="24">
        <f>IF($C2="","",IF($C2&lt;DATE(2024,10,11),3,1))</f>
        <v/>
      </c>
      <c r="G2" s="28">
        <f>IF($C2="","",E2/F2)</f>
        <v/>
      </c>
      <c r="H2" s="29" t="inlineStr"/>
      <c r="I2" s="29" t="inlineStr"/>
      <c r="J2" s="28" t="inlineStr"/>
      <c r="K2" s="30" t="n">
        <v>9.26</v>
      </c>
      <c r="L2" s="29">
        <f>IF(OR(J2="",K2=""),"",J2/K2)</f>
        <v/>
      </c>
      <c r="M2" s="31" t="n">
        <v>1133.5</v>
      </c>
      <c r="N2" s="32">
        <f>IF(OR(G2="",M2=""),"",G2*M2)</f>
        <v/>
      </c>
      <c r="O2" s="32">
        <f>IF(N2="","",N2*(1-사용법!$C$6))</f>
        <v/>
      </c>
      <c r="P2" s="33" t="inlineStr">
        <is>
          <t>dividendhistory.net</t>
        </is>
      </c>
    </row>
    <row r="3">
      <c r="A3" s="24">
        <f>IF($C3="","",YEAR($C3))</f>
        <v/>
      </c>
      <c r="B3" s="25">
        <f>IF($C3="","",ROUNDUP(MONTH($C3)/3,0))</f>
        <v/>
      </c>
      <c r="C3" s="26" t="n">
        <v>41078</v>
      </c>
      <c r="D3" s="26" t="n">
        <v>41082</v>
      </c>
      <c r="E3" s="27" t="n">
        <v>0.2061</v>
      </c>
      <c r="F3" s="24">
        <f>IF($C3="","",IF($C3&lt;DATE(2024,10,11),3,1))</f>
        <v/>
      </c>
      <c r="G3" s="28">
        <f>IF($C3="","",E3/F3)</f>
        <v/>
      </c>
      <c r="H3" s="29">
        <f>IF(OR($C3="",G2=""),"",G3/G2-1)</f>
        <v/>
      </c>
      <c r="I3" s="29" t="inlineStr"/>
      <c r="J3" s="28" t="inlineStr"/>
      <c r="K3" s="30" t="n">
        <v>9.140000000000001</v>
      </c>
      <c r="L3" s="29">
        <f>IF(OR(J3="",K3=""),"",J3/K3)</f>
        <v/>
      </c>
      <c r="M3" s="31" t="n">
        <v>1159</v>
      </c>
      <c r="N3" s="32">
        <f>IF(OR(G3="",M3=""),"",G3*M3)</f>
        <v/>
      </c>
      <c r="O3" s="32">
        <f>IF(N3="","",N3*(1-사용법!$C$6))</f>
        <v/>
      </c>
      <c r="P3" s="33" t="inlineStr">
        <is>
          <t>dividendhistory.net</t>
        </is>
      </c>
    </row>
    <row r="4">
      <c r="A4" s="24">
        <f>IF($C4="","",YEAR($C4))</f>
        <v/>
      </c>
      <c r="B4" s="25">
        <f>IF($C4="","",ROUNDUP(MONTH($C4)/3,0))</f>
        <v/>
      </c>
      <c r="C4" s="26" t="n">
        <v>41169</v>
      </c>
      <c r="D4" s="26" t="n">
        <v>41173</v>
      </c>
      <c r="E4" s="27" t="n">
        <v>0.2079</v>
      </c>
      <c r="F4" s="24">
        <f>IF($C4="","",IF($C4&lt;DATE(2024,10,11),3,1))</f>
        <v/>
      </c>
      <c r="G4" s="28">
        <f>IF($C4="","",E4/F4)</f>
        <v/>
      </c>
      <c r="H4" s="29">
        <f>IF(OR($C4="",G3=""),"",G4/G3-1)</f>
        <v/>
      </c>
      <c r="I4" s="29" t="inlineStr"/>
      <c r="J4" s="28" t="inlineStr"/>
      <c r="K4" s="30" t="n">
        <v>9.65</v>
      </c>
      <c r="L4" s="29">
        <f>IF(OR(J4="",K4=""),"",J4/K4)</f>
        <v/>
      </c>
      <c r="M4" s="31" t="n">
        <v>1117</v>
      </c>
      <c r="N4" s="32">
        <f>IF(OR(G4="",M4=""),"",G4*M4)</f>
        <v/>
      </c>
      <c r="O4" s="32">
        <f>IF(N4="","",N4*(1-사용법!$C$6))</f>
        <v/>
      </c>
      <c r="P4" s="33" t="inlineStr">
        <is>
          <t>dividendhistory.net</t>
        </is>
      </c>
    </row>
    <row r="5">
      <c r="A5" s="24">
        <f>IF($C5="","",YEAR($C5))</f>
        <v/>
      </c>
      <c r="B5" s="25">
        <f>IF($C5="","",ROUNDUP(MONTH($C5)/3,0))</f>
        <v/>
      </c>
      <c r="C5" s="26" t="n">
        <v>41267</v>
      </c>
      <c r="D5" s="26" t="n">
        <v>41274</v>
      </c>
      <c r="E5" s="27" t="n">
        <v>0.258</v>
      </c>
      <c r="F5" s="24">
        <f>IF($C5="","",IF($C5&lt;DATE(2024,10,11),3,1))</f>
        <v/>
      </c>
      <c r="G5" s="28">
        <f>IF($C5="","",E5/F5)</f>
        <v/>
      </c>
      <c r="H5" s="29">
        <f>IF(OR($C5="",G4=""),"",G5/G4-1)</f>
        <v/>
      </c>
      <c r="I5" s="29" t="inlineStr"/>
      <c r="J5" s="28">
        <f>IF($C5="","",SUM(G2:G5))</f>
        <v/>
      </c>
      <c r="K5" s="30" t="n">
        <v>9.486700000000001</v>
      </c>
      <c r="L5" s="29">
        <f>IF(OR(J5="",K5=""),"",J5/K5)</f>
        <v/>
      </c>
      <c r="M5" s="31" t="n">
        <v>1063</v>
      </c>
      <c r="N5" s="32">
        <f>IF(OR(G5="",M5=""),"",G5*M5)</f>
        <v/>
      </c>
      <c r="O5" s="32">
        <f>IF(N5="","",N5*(1-사용법!$C$6))</f>
        <v/>
      </c>
      <c r="P5" s="33" t="inlineStr">
        <is>
          <t>dividendhistory.net</t>
        </is>
      </c>
    </row>
    <row r="6">
      <c r="A6" s="24">
        <f>IF($C6="","",YEAR($C6))</f>
        <v/>
      </c>
      <c r="B6" s="25">
        <f>IF($C6="","",ROUNDUP(MONTH($C6)/3,0))</f>
        <v/>
      </c>
      <c r="C6" s="26" t="n">
        <v>41351</v>
      </c>
      <c r="D6" s="26" t="n">
        <v>41355</v>
      </c>
      <c r="E6" s="27" t="n">
        <v>0.1992</v>
      </c>
      <c r="F6" s="24">
        <f>IF($C6="","",IF($C6&lt;DATE(2024,10,11),3,1))</f>
        <v/>
      </c>
      <c r="G6" s="28">
        <f>IF($C6="","",E6/F6)</f>
        <v/>
      </c>
      <c r="H6" s="29">
        <f>IF(OR($C6="",G5=""),"",G6/G5-1)</f>
        <v/>
      </c>
      <c r="I6" s="29">
        <f>IF(OR($C6="",G2=""),"",G6/G2-1)</f>
        <v/>
      </c>
      <c r="J6" s="28">
        <f>IF($C6="","",SUM(G3:G6))</f>
        <v/>
      </c>
      <c r="K6" s="30" t="n">
        <v>10.35</v>
      </c>
      <c r="L6" s="29">
        <f>IF(OR(J6="",K6=""),"",J6/K6)</f>
        <v/>
      </c>
      <c r="M6" s="31" t="n">
        <v>1118</v>
      </c>
      <c r="N6" s="32">
        <f>IF(OR(G6="",M6=""),"",G6*M6)</f>
        <v/>
      </c>
      <c r="O6" s="32">
        <f>IF(N6="","",N6*(1-사용법!$C$6))</f>
        <v/>
      </c>
      <c r="P6" s="33" t="inlineStr">
        <is>
          <t>dividendhistory.net</t>
        </is>
      </c>
    </row>
    <row r="7">
      <c r="A7" s="24">
        <f>IF($C7="","",YEAR($C7))</f>
        <v/>
      </c>
      <c r="B7" s="25">
        <f>IF($C7="","",ROUNDUP(MONTH($C7)/3,0))</f>
        <v/>
      </c>
      <c r="C7" s="26" t="n">
        <v>41449</v>
      </c>
      <c r="D7" s="26" t="n">
        <v>41453</v>
      </c>
      <c r="E7" s="27" t="n">
        <v>0.225</v>
      </c>
      <c r="F7" s="24">
        <f>IF($C7="","",IF($C7&lt;DATE(2024,10,11),3,1))</f>
        <v/>
      </c>
      <c r="G7" s="28">
        <f>IF($C7="","",E7/F7)</f>
        <v/>
      </c>
      <c r="H7" s="29">
        <f>IF(OR($C7="",G6=""),"",G7/G6-1)</f>
        <v/>
      </c>
      <c r="I7" s="29">
        <f>IF(OR($C7="",G3=""),"",G7/G3-1)</f>
        <v/>
      </c>
      <c r="J7" s="28">
        <f>IF($C7="","",SUM(G4:G7))</f>
        <v/>
      </c>
      <c r="K7" s="30" t="n">
        <v>10.73</v>
      </c>
      <c r="L7" s="29">
        <f>IF(OR(J7="",K7=""),"",J7/K7)</f>
        <v/>
      </c>
      <c r="M7" s="31" t="n">
        <v>1140</v>
      </c>
      <c r="N7" s="32">
        <f>IF(OR(G7="",M7=""),"",G7*M7)</f>
        <v/>
      </c>
      <c r="O7" s="32">
        <f>IF(N7="","",N7*(1-사용법!$C$6))</f>
        <v/>
      </c>
      <c r="P7" s="33" t="inlineStr">
        <is>
          <t>dividendhistory.net</t>
        </is>
      </c>
    </row>
    <row r="8">
      <c r="A8" s="24">
        <f>IF($C8="","",YEAR($C8))</f>
        <v/>
      </c>
      <c r="B8" s="25">
        <f>IF($C8="","",ROUNDUP(MONTH($C8)/3,0))</f>
        <v/>
      </c>
      <c r="C8" s="26" t="n">
        <v>41540</v>
      </c>
      <c r="D8" s="26" t="n">
        <v>41544</v>
      </c>
      <c r="E8" s="27" t="n">
        <v>0.2307</v>
      </c>
      <c r="F8" s="24">
        <f>IF($C8="","",IF($C8&lt;DATE(2024,10,11),3,1))</f>
        <v/>
      </c>
      <c r="G8" s="28">
        <f>IF($C8="","",E8/F8)</f>
        <v/>
      </c>
      <c r="H8" s="29">
        <f>IF(OR($C8="",G7=""),"",G8/G7-1)</f>
        <v/>
      </c>
      <c r="I8" s="29">
        <f>IF(OR($C8="",G4=""),"",G8/G4-1)</f>
        <v/>
      </c>
      <c r="J8" s="28">
        <f>IF($C8="","",SUM(G5:G8))</f>
        <v/>
      </c>
      <c r="K8" s="30" t="n">
        <v>11.4033</v>
      </c>
      <c r="L8" s="29">
        <f>IF(OR(J8="",K8=""),"",J8/K8)</f>
        <v/>
      </c>
      <c r="M8" s="31" t="n">
        <v>1075.5</v>
      </c>
      <c r="N8" s="32">
        <f>IF(OR(G8="",M8=""),"",G8*M8)</f>
        <v/>
      </c>
      <c r="O8" s="32">
        <f>IF(N8="","",N8*(1-사용법!$C$6))</f>
        <v/>
      </c>
      <c r="P8" s="33" t="inlineStr">
        <is>
          <t>dividendhistory.net</t>
        </is>
      </c>
    </row>
    <row r="9">
      <c r="A9" s="24">
        <f>IF($C9="","",YEAR($C9))</f>
        <v/>
      </c>
      <c r="B9" s="25">
        <f>IF($C9="","",ROUNDUP(MONTH($C9)/3,0))</f>
        <v/>
      </c>
      <c r="C9" s="26" t="n">
        <v>41631</v>
      </c>
      <c r="D9" s="26" t="n">
        <v>41638</v>
      </c>
      <c r="E9" s="27" t="n">
        <v>0.249</v>
      </c>
      <c r="F9" s="24">
        <f>IF($C9="","",IF($C9&lt;DATE(2024,10,11),3,1))</f>
        <v/>
      </c>
      <c r="G9" s="28">
        <f>IF($C9="","",E9/F9)</f>
        <v/>
      </c>
      <c r="H9" s="29">
        <f>IF(OR($C9="",G8=""),"",G9/G8-1)</f>
        <v/>
      </c>
      <c r="I9" s="29">
        <f>IF(OR($C9="",G5=""),"",G9/G5-1)</f>
        <v/>
      </c>
      <c r="J9" s="28">
        <f>IF($C9="","",SUM(G6:G9))</f>
        <v/>
      </c>
      <c r="K9" s="30" t="n">
        <v>12.0533</v>
      </c>
      <c r="L9" s="29">
        <f>IF(OR(J9="",K9=""),"",J9/K9)</f>
        <v/>
      </c>
      <c r="M9" s="31" t="n">
        <v>1053.5</v>
      </c>
      <c r="N9" s="32">
        <f>IF(OR(G9="",M9=""),"",G9*M9)</f>
        <v/>
      </c>
      <c r="O9" s="32">
        <f>IF(N9="","",N9*(1-사용법!$C$6))</f>
        <v/>
      </c>
      <c r="P9" s="33" t="inlineStr">
        <is>
          <t>dividendhistory.net</t>
        </is>
      </c>
    </row>
    <row r="10">
      <c r="A10" s="24">
        <f>IF($C10="","",YEAR($C10))</f>
        <v/>
      </c>
      <c r="B10" s="25">
        <f>IF($C10="","",ROUNDUP(MONTH($C10)/3,0))</f>
        <v/>
      </c>
      <c r="C10" s="26" t="n">
        <v>41722</v>
      </c>
      <c r="D10" s="26" t="n">
        <v>41726</v>
      </c>
      <c r="E10" s="27" t="n">
        <v>0.2478</v>
      </c>
      <c r="F10" s="24">
        <f>IF($C10="","",IF($C10&lt;DATE(2024,10,11),3,1))</f>
        <v/>
      </c>
      <c r="G10" s="28">
        <f>IF($C10="","",E10/F10)</f>
        <v/>
      </c>
      <c r="H10" s="29">
        <f>IF(OR($C10="",G9=""),"",G10/G9-1)</f>
        <v/>
      </c>
      <c r="I10" s="29">
        <f>IF(OR($C10="",G6=""),"",G10/G6-1)</f>
        <v/>
      </c>
      <c r="J10" s="28">
        <f>IF($C10="","",SUM(G7:G10))</f>
        <v/>
      </c>
      <c r="K10" s="30" t="n">
        <v>12.0833</v>
      </c>
      <c r="L10" s="29">
        <f>IF(OR(J10="",K10=""),"",J10/K10)</f>
        <v/>
      </c>
      <c r="M10" s="31" t="n">
        <v>1068.7</v>
      </c>
      <c r="N10" s="32">
        <f>IF(OR(G10="",M10=""),"",G10*M10)</f>
        <v/>
      </c>
      <c r="O10" s="32">
        <f>IF(N10="","",N10*(1-사용법!$C$6))</f>
        <v/>
      </c>
      <c r="P10" s="33" t="inlineStr">
        <is>
          <t>dividendhistory.net</t>
        </is>
      </c>
    </row>
    <row r="11">
      <c r="A11" s="24">
        <f>IF($C11="","",YEAR($C11))</f>
        <v/>
      </c>
      <c r="B11" s="25">
        <f>IF($C11="","",ROUNDUP(MONTH($C11)/3,0))</f>
        <v/>
      </c>
      <c r="C11" s="26" t="n">
        <v>41813</v>
      </c>
      <c r="D11" s="26" t="n">
        <v>41817</v>
      </c>
      <c r="E11" s="27" t="n">
        <v>0.2694</v>
      </c>
      <c r="F11" s="24">
        <f>IF($C11="","",IF($C11&lt;DATE(2024,10,11),3,1))</f>
        <v/>
      </c>
      <c r="G11" s="28">
        <f>IF($C11="","",E11/F11)</f>
        <v/>
      </c>
      <c r="H11" s="29">
        <f>IF(OR($C11="",G10=""),"",G11/G10-1)</f>
        <v/>
      </c>
      <c r="I11" s="29">
        <f>IF(OR($C11="",G7=""),"",G11/G7-1)</f>
        <v/>
      </c>
      <c r="J11" s="28">
        <f>IF($C11="","",SUM(G8:G11))</f>
        <v/>
      </c>
      <c r="K11" s="30" t="n">
        <v>12.8433</v>
      </c>
      <c r="L11" s="29">
        <f>IF(OR(J11="",K11=""),"",J11/K11)</f>
        <v/>
      </c>
      <c r="M11" s="31" t="n">
        <v>1014.5</v>
      </c>
      <c r="N11" s="32">
        <f>IF(OR(G11="",M11=""),"",G11*M11)</f>
        <v/>
      </c>
      <c r="O11" s="32">
        <f>IF(N11="","",N11*(1-사용법!$C$6))</f>
        <v/>
      </c>
      <c r="P11" s="33" t="inlineStr">
        <is>
          <t>dividendhistory.net</t>
        </is>
      </c>
    </row>
    <row r="12">
      <c r="A12" s="24">
        <f>IF($C12="","",YEAR($C12))</f>
        <v/>
      </c>
      <c r="B12" s="25">
        <f>IF($C12="","",ROUNDUP(MONTH($C12)/3,0))</f>
        <v/>
      </c>
      <c r="C12" s="26" t="n">
        <v>41904</v>
      </c>
      <c r="D12" s="26" t="n">
        <v>41908</v>
      </c>
      <c r="E12" s="27" t="n">
        <v>0.2544</v>
      </c>
      <c r="F12" s="24">
        <f>IF($C12="","",IF($C12&lt;DATE(2024,10,11),3,1))</f>
        <v/>
      </c>
      <c r="G12" s="28">
        <f>IF($C12="","",E12/F12)</f>
        <v/>
      </c>
      <c r="H12" s="29">
        <f>IF(OR($C12="",G11=""),"",G12/G11-1)</f>
        <v/>
      </c>
      <c r="I12" s="29">
        <f>IF(OR($C12="",G8=""),"",G12/G8-1)</f>
        <v/>
      </c>
      <c r="J12" s="28">
        <f>IF($C12="","",SUM(G9:G12))</f>
        <v/>
      </c>
      <c r="K12" s="30" t="n">
        <v>12.98</v>
      </c>
      <c r="L12" s="29">
        <f>IF(OR(J12="",K12=""),"",J12/K12)</f>
        <v/>
      </c>
      <c r="M12" s="31" t="n">
        <v>1044.5</v>
      </c>
      <c r="N12" s="32">
        <f>IF(OR(G12="",M12=""),"",G12*M12)</f>
        <v/>
      </c>
      <c r="O12" s="32">
        <f>IF(N12="","",N12*(1-사용법!$C$6))</f>
        <v/>
      </c>
      <c r="P12" s="33" t="inlineStr">
        <is>
          <t>dividendhistory.net</t>
        </is>
      </c>
    </row>
    <row r="13">
      <c r="A13" s="24">
        <f>IF($C13="","",YEAR($C13))</f>
        <v/>
      </c>
      <c r="B13" s="25">
        <f>IF($C13="","",ROUNDUP(MONTH($C13)/3,0))</f>
        <v/>
      </c>
      <c r="C13" s="26" t="n">
        <v>41995</v>
      </c>
      <c r="D13" s="26" t="n">
        <v>42002</v>
      </c>
      <c r="E13" s="27" t="n">
        <v>0.2754</v>
      </c>
      <c r="F13" s="24">
        <f>IF($C13="","",IF($C13&lt;DATE(2024,10,11),3,1))</f>
        <v/>
      </c>
      <c r="G13" s="28">
        <f>IF($C13="","",E13/F13)</f>
        <v/>
      </c>
      <c r="H13" s="29">
        <f>IF(OR($C13="",G12=""),"",G13/G12-1)</f>
        <v/>
      </c>
      <c r="I13" s="29">
        <f>IF(OR($C13="",G9=""),"",G13/G9-1)</f>
        <v/>
      </c>
      <c r="J13" s="28">
        <f>IF($C13="","",SUM(G10:G13))</f>
        <v/>
      </c>
      <c r="K13" s="30" t="n">
        <v>13.44</v>
      </c>
      <c r="L13" s="29">
        <f>IF(OR(J13="",K13=""),"",J13/K13)</f>
        <v/>
      </c>
      <c r="M13" s="31" t="n">
        <v>1097.8</v>
      </c>
      <c r="N13" s="32">
        <f>IF(OR(G13="",M13=""),"",G13*M13)</f>
        <v/>
      </c>
      <c r="O13" s="32">
        <f>IF(N13="","",N13*(1-사용법!$C$6))</f>
        <v/>
      </c>
      <c r="P13" s="33" t="inlineStr">
        <is>
          <t>dividendhistory.net</t>
        </is>
      </c>
    </row>
    <row r="14">
      <c r="A14" s="24">
        <f>IF($C14="","",YEAR($C14))</f>
        <v/>
      </c>
      <c r="B14" s="25">
        <f>IF($C14="","",ROUNDUP(MONTH($C14)/3,0))</f>
        <v/>
      </c>
      <c r="C14" s="26" t="n">
        <v>42086</v>
      </c>
      <c r="D14" s="26" t="n">
        <v>42090</v>
      </c>
      <c r="E14" s="27" t="n">
        <v>0.27</v>
      </c>
      <c r="F14" s="24">
        <f>IF($C14="","",IF($C14&lt;DATE(2024,10,11),3,1))</f>
        <v/>
      </c>
      <c r="G14" s="28">
        <f>IF($C14="","",E14/F14)</f>
        <v/>
      </c>
      <c r="H14" s="29">
        <f>IF(OR($C14="",G13=""),"",G14/G13-1)</f>
        <v/>
      </c>
      <c r="I14" s="29">
        <f>IF(OR($C14="",G10=""),"",G14/G10-1)</f>
        <v/>
      </c>
      <c r="J14" s="28">
        <f>IF($C14="","",SUM(G11:G14))</f>
        <v/>
      </c>
      <c r="K14" s="30" t="n">
        <v>13.3167</v>
      </c>
      <c r="L14" s="29">
        <f>IF(OR(J14="",K14=""),"",J14/K14)</f>
        <v/>
      </c>
      <c r="M14" s="31" t="n">
        <v>1106.5</v>
      </c>
      <c r="N14" s="32">
        <f>IF(OR(G14="",M14=""),"",G14*M14)</f>
        <v/>
      </c>
      <c r="O14" s="32">
        <f>IF(N14="","",N14*(1-사용법!$C$6))</f>
        <v/>
      </c>
      <c r="P14" s="33" t="inlineStr">
        <is>
          <t>dividendhistory.net</t>
        </is>
      </c>
    </row>
    <row r="15">
      <c r="A15" s="24">
        <f>IF($C15="","",YEAR($C15))</f>
        <v/>
      </c>
      <c r="B15" s="25">
        <f>IF($C15="","",ROUNDUP(MONTH($C15)/3,0))</f>
        <v/>
      </c>
      <c r="C15" s="26" t="n">
        <v>42177</v>
      </c>
      <c r="D15" s="26" t="n">
        <v>42181</v>
      </c>
      <c r="E15" s="27" t="n">
        <v>0.3063</v>
      </c>
      <c r="F15" s="24">
        <f>IF($C15="","",IF($C15&lt;DATE(2024,10,11),3,1))</f>
        <v/>
      </c>
      <c r="G15" s="28">
        <f>IF($C15="","",E15/F15)</f>
        <v/>
      </c>
      <c r="H15" s="29">
        <f>IF(OR($C15="",G14=""),"",G15/G14-1)</f>
        <v/>
      </c>
      <c r="I15" s="29">
        <f>IF(OR($C15="",G11=""),"",G15/G11-1)</f>
        <v/>
      </c>
      <c r="J15" s="28">
        <f>IF($C15="","",SUM(G12:G15))</f>
        <v/>
      </c>
      <c r="K15" s="30" t="n">
        <v>13.1767</v>
      </c>
      <c r="L15" s="29">
        <f>IF(OR(J15="",K15=""),"",J15/K15)</f>
        <v/>
      </c>
      <c r="M15" s="31" t="n">
        <v>1119.5</v>
      </c>
      <c r="N15" s="32">
        <f>IF(OR(G15="",M15=""),"",G15*M15)</f>
        <v/>
      </c>
      <c r="O15" s="32">
        <f>IF(N15="","",N15*(1-사용법!$C$6))</f>
        <v/>
      </c>
      <c r="P15" s="33" t="inlineStr">
        <is>
          <t>dividendhistory.net</t>
        </is>
      </c>
    </row>
    <row r="16">
      <c r="A16" s="24">
        <f>IF($C16="","",YEAR($C16))</f>
        <v/>
      </c>
      <c r="B16" s="25">
        <f>IF($C16="","",ROUNDUP(MONTH($C16)/3,0))</f>
        <v/>
      </c>
      <c r="C16" s="26" t="n">
        <v>42268</v>
      </c>
      <c r="D16" s="26" t="n">
        <v>42272</v>
      </c>
      <c r="E16" s="27" t="n">
        <v>0.2988</v>
      </c>
      <c r="F16" s="24">
        <f>IF($C16="","",IF($C16&lt;DATE(2024,10,11),3,1))</f>
        <v/>
      </c>
      <c r="G16" s="28">
        <f>IF($C16="","",E16/F16)</f>
        <v/>
      </c>
      <c r="H16" s="29">
        <f>IF(OR($C16="",G15=""),"",G16/G15-1)</f>
        <v/>
      </c>
      <c r="I16" s="29">
        <f>IF(OR($C16="",G12=""),"",G16/G12-1)</f>
        <v/>
      </c>
      <c r="J16" s="28">
        <f>IF($C16="","",SUM(G13:G16))</f>
        <v/>
      </c>
      <c r="K16" s="30" t="n">
        <v>12.07</v>
      </c>
      <c r="L16" s="29">
        <f>IF(OR(J16="",K16=""),"",J16/K16)</f>
        <v/>
      </c>
      <c r="M16" s="31" t="n">
        <v>1194</v>
      </c>
      <c r="N16" s="32">
        <f>IF(OR(G16="",M16=""),"",G16*M16)</f>
        <v/>
      </c>
      <c r="O16" s="32">
        <f>IF(N16="","",N16*(1-사용법!$C$6))</f>
        <v/>
      </c>
      <c r="P16" s="33" t="inlineStr">
        <is>
          <t>dividendhistory.net</t>
        </is>
      </c>
    </row>
    <row r="17">
      <c r="A17" s="24">
        <f>IF($C17="","",YEAR($C17))</f>
        <v/>
      </c>
      <c r="B17" s="25">
        <f>IF($C17="","",ROUNDUP(MONTH($C17)/3,0))</f>
        <v/>
      </c>
      <c r="C17" s="26" t="n">
        <v>42359</v>
      </c>
      <c r="D17" s="26" t="n">
        <v>42366</v>
      </c>
      <c r="E17" s="27" t="n">
        <v>0.2715</v>
      </c>
      <c r="F17" s="24">
        <f>IF($C17="","",IF($C17&lt;DATE(2024,10,11),3,1))</f>
        <v/>
      </c>
      <c r="G17" s="28">
        <f>IF($C17="","",E17/F17)</f>
        <v/>
      </c>
      <c r="H17" s="29">
        <f>IF(OR($C17="",G16=""),"",G17/G16-1)</f>
        <v/>
      </c>
      <c r="I17" s="29">
        <f>IF(OR($C17="",G13=""),"",G17/G13-1)</f>
        <v/>
      </c>
      <c r="J17" s="28">
        <f>IF($C17="","",SUM(G14:G17))</f>
        <v/>
      </c>
      <c r="K17" s="30" t="n">
        <v>12.7167</v>
      </c>
      <c r="L17" s="29">
        <f>IF(OR(J17="",K17=""),"",J17/K17)</f>
        <v/>
      </c>
      <c r="M17" s="31" t="n">
        <v>1166</v>
      </c>
      <c r="N17" s="32">
        <f>IF(OR(G17="",M17=""),"",G17*M17)</f>
        <v/>
      </c>
      <c r="O17" s="32">
        <f>IF(N17="","",N17*(1-사용법!$C$6))</f>
        <v/>
      </c>
      <c r="P17" s="33" t="inlineStr">
        <is>
          <t>dividendhistory.net</t>
        </is>
      </c>
    </row>
    <row r="18">
      <c r="A18" s="24">
        <f>IF($C18="","",YEAR($C18))</f>
        <v/>
      </c>
      <c r="B18" s="25">
        <f>IF($C18="","",ROUNDUP(MONTH($C18)/3,0))</f>
        <v/>
      </c>
      <c r="C18" s="26" t="n">
        <v>42450</v>
      </c>
      <c r="D18" s="26" t="n">
        <v>42457</v>
      </c>
      <c r="E18" s="27" t="n">
        <v>0.2982</v>
      </c>
      <c r="F18" s="24">
        <f>IF($C18="","",IF($C18&lt;DATE(2024,10,11),3,1))</f>
        <v/>
      </c>
      <c r="G18" s="28">
        <f>IF($C18="","",E18/F18)</f>
        <v/>
      </c>
      <c r="H18" s="29">
        <f>IF(OR($C18="",G17=""),"",G18/G17-1)</f>
        <v/>
      </c>
      <c r="I18" s="29">
        <f>IF(OR($C18="",G14=""),"",G18/G14-1)</f>
        <v/>
      </c>
      <c r="J18" s="28">
        <f>IF($C18="","",SUM(G15:G18))</f>
        <v/>
      </c>
      <c r="K18" s="30" t="n">
        <v>13.33</v>
      </c>
      <c r="L18" s="29">
        <f>IF(OR(J18="",K18=""),"",J18/K18)</f>
        <v/>
      </c>
      <c r="M18" s="31" t="n">
        <v>1166</v>
      </c>
      <c r="N18" s="32">
        <f>IF(OR(G18="",M18=""),"",G18*M18)</f>
        <v/>
      </c>
      <c r="O18" s="32">
        <f>IF(N18="","",N18*(1-사용법!$C$6))</f>
        <v/>
      </c>
      <c r="P18" s="33" t="inlineStr">
        <is>
          <t>dividendhistory.net</t>
        </is>
      </c>
    </row>
    <row r="19">
      <c r="A19" s="24">
        <f>IF($C19="","",YEAR($C19))</f>
        <v/>
      </c>
      <c r="B19" s="25">
        <f>IF($C19="","",ROUNDUP(MONTH($C19)/3,0))</f>
        <v/>
      </c>
      <c r="C19" s="26" t="n">
        <v>42541</v>
      </c>
      <c r="D19" s="26" t="n">
        <v>42545</v>
      </c>
      <c r="E19" s="27" t="n">
        <v>0.3174</v>
      </c>
      <c r="F19" s="24">
        <f>IF($C19="","",IF($C19&lt;DATE(2024,10,11),3,1))</f>
        <v/>
      </c>
      <c r="G19" s="28">
        <f>IF($C19="","",E19/F19)</f>
        <v/>
      </c>
      <c r="H19" s="29">
        <f>IF(OR($C19="",G18=""),"",G19/G18-1)</f>
        <v/>
      </c>
      <c r="I19" s="29">
        <f>IF(OR($C19="",G15=""),"",G19/G15-1)</f>
        <v/>
      </c>
      <c r="J19" s="28">
        <f>IF($C19="","",SUM(G16:G19))</f>
        <v/>
      </c>
      <c r="K19" s="30" t="n">
        <v>13.6267</v>
      </c>
      <c r="L19" s="29">
        <f>IF(OR(J19="",K19=""),"",J19/K19)</f>
        <v/>
      </c>
      <c r="M19" s="31" t="n">
        <v>1173</v>
      </c>
      <c r="N19" s="32">
        <f>IF(OR(G19="",M19=""),"",G19*M19)</f>
        <v/>
      </c>
      <c r="O19" s="32">
        <f>IF(N19="","",N19*(1-사용법!$C$6))</f>
        <v/>
      </c>
      <c r="P19" s="33" t="inlineStr">
        <is>
          <t>dividendhistory.net</t>
        </is>
      </c>
    </row>
    <row r="20">
      <c r="A20" s="24">
        <f>IF($C20="","",YEAR($C20))</f>
        <v/>
      </c>
      <c r="B20" s="25">
        <f>IF($C20="","",ROUNDUP(MONTH($C20)/3,0))</f>
        <v/>
      </c>
      <c r="C20" s="26" t="n">
        <v>42632</v>
      </c>
      <c r="D20" s="26" t="n">
        <v>42636</v>
      </c>
      <c r="E20" s="27" t="n">
        <v>0.2439</v>
      </c>
      <c r="F20" s="24">
        <f>IF($C20="","",IF($C20&lt;DATE(2024,10,11),3,1))</f>
        <v/>
      </c>
      <c r="G20" s="28">
        <f>IF($C20="","",E20/F20)</f>
        <v/>
      </c>
      <c r="H20" s="29">
        <f>IF(OR($C20="",G19=""),"",G20/G19-1)</f>
        <v/>
      </c>
      <c r="I20" s="29">
        <f>IF(OR($C20="",G16=""),"",G20/G16-1)</f>
        <v/>
      </c>
      <c r="J20" s="28">
        <f>IF($C20="","",SUM(G17:G20))</f>
        <v/>
      </c>
      <c r="K20" s="30" t="n">
        <v>13.87</v>
      </c>
      <c r="L20" s="29">
        <f>IF(OR(J20="",K20=""),"",J20/K20)</f>
        <v/>
      </c>
      <c r="M20" s="31" t="n">
        <v>1103.5</v>
      </c>
      <c r="N20" s="32">
        <f>IF(OR(G20="",M20=""),"",G20*M20)</f>
        <v/>
      </c>
      <c r="O20" s="32">
        <f>IF(N20="","",N20*(1-사용법!$C$6))</f>
        <v/>
      </c>
      <c r="P20" s="33" t="inlineStr">
        <is>
          <t>dividendhistory.net</t>
        </is>
      </c>
    </row>
    <row r="21">
      <c r="A21" s="24">
        <f>IF($C21="","",YEAR($C21))</f>
        <v/>
      </c>
      <c r="B21" s="25">
        <f>IF($C21="","",ROUNDUP(MONTH($C21)/3,0))</f>
        <v/>
      </c>
      <c r="C21" s="26" t="n">
        <v>42723</v>
      </c>
      <c r="D21" s="26" t="n">
        <v>42727</v>
      </c>
      <c r="E21" s="27" t="n">
        <v>0.3987</v>
      </c>
      <c r="F21" s="24">
        <f>IF($C21="","",IF($C21&lt;DATE(2024,10,11),3,1))</f>
        <v/>
      </c>
      <c r="G21" s="28">
        <f>IF($C21="","",E21/F21)</f>
        <v/>
      </c>
      <c r="H21" s="29">
        <f>IF(OR($C21="",G20=""),"",G21/G20-1)</f>
        <v/>
      </c>
      <c r="I21" s="29">
        <f>IF(OR($C21="",G17=""),"",G21/G17-1)</f>
        <v/>
      </c>
      <c r="J21" s="28">
        <f>IF($C21="","",SUM(G18:G21))</f>
        <v/>
      </c>
      <c r="K21" s="30" t="n">
        <v>14.6467</v>
      </c>
      <c r="L21" s="29">
        <f>IF(OR(J21="",K21=""),"",J21/K21)</f>
        <v/>
      </c>
      <c r="M21" s="31" t="n">
        <v>1205</v>
      </c>
      <c r="N21" s="32">
        <f>IF(OR(G21="",M21=""),"",G21*M21)</f>
        <v/>
      </c>
      <c r="O21" s="32">
        <f>IF(N21="","",N21*(1-사용법!$C$6))</f>
        <v/>
      </c>
      <c r="P21" s="33" t="inlineStr">
        <is>
          <t>Schwab 공식</t>
        </is>
      </c>
    </row>
    <row r="22">
      <c r="A22" s="24">
        <f>IF($C22="","",YEAR($C22))</f>
        <v/>
      </c>
      <c r="B22" s="25">
        <f>IF($C22="","",ROUNDUP(MONTH($C22)/3,0))</f>
        <v/>
      </c>
      <c r="C22" s="26" t="n">
        <v>42814</v>
      </c>
      <c r="D22" s="26" t="n">
        <v>42818</v>
      </c>
      <c r="E22" s="27" t="n">
        <v>0.3258</v>
      </c>
      <c r="F22" s="24">
        <f>IF($C22="","",IF($C22&lt;DATE(2024,10,11),3,1))</f>
        <v/>
      </c>
      <c r="G22" s="28">
        <f>IF($C22="","",E22/F22)</f>
        <v/>
      </c>
      <c r="H22" s="29">
        <f>IF(OR($C22="",G21=""),"",G22/G21-1)</f>
        <v/>
      </c>
      <c r="I22" s="29">
        <f>IF(OR($C22="",G18=""),"",G22/G18-1)</f>
        <v/>
      </c>
      <c r="J22" s="28">
        <f>IF($C22="","",SUM(G19:G22))</f>
        <v/>
      </c>
      <c r="K22" s="30" t="n">
        <v>14.9433</v>
      </c>
      <c r="L22" s="29">
        <f>IF(OR(J22="",K22=""),"",J22/K22)</f>
        <v/>
      </c>
      <c r="M22" s="31" t="n">
        <v>1122.5</v>
      </c>
      <c r="N22" s="32">
        <f>IF(OR(G22="",M22=""),"",G22*M22)</f>
        <v/>
      </c>
      <c r="O22" s="32">
        <f>IF(N22="","",N22*(1-사용법!$C$6))</f>
        <v/>
      </c>
      <c r="P22" s="33" t="inlineStr">
        <is>
          <t>Schwab 공식</t>
        </is>
      </c>
    </row>
    <row r="23">
      <c r="A23" s="24">
        <f>IF($C23="","",YEAR($C23))</f>
        <v/>
      </c>
      <c r="B23" s="25">
        <f>IF($C23="","",ROUNDUP(MONTH($C23)/3,0))</f>
        <v/>
      </c>
      <c r="C23" s="26" t="n">
        <v>42905</v>
      </c>
      <c r="D23" s="26" t="n">
        <v>42909</v>
      </c>
      <c r="E23" s="27" t="n">
        <v>0.3312</v>
      </c>
      <c r="F23" s="24">
        <f>IF($C23="","",IF($C23&lt;DATE(2024,10,11),3,1))</f>
        <v/>
      </c>
      <c r="G23" s="28">
        <f>IF($C23="","",E23/F23)</f>
        <v/>
      </c>
      <c r="H23" s="29">
        <f>IF(OR($C23="",G22=""),"",G23/G22-1)</f>
        <v/>
      </c>
      <c r="I23" s="29">
        <f>IF(OR($C23="",G19=""),"",G23/G19-1)</f>
        <v/>
      </c>
      <c r="J23" s="28">
        <f>IF($C23="","",SUM(G20:G23))</f>
        <v/>
      </c>
      <c r="K23" s="30" t="n">
        <v>15.3233</v>
      </c>
      <c r="L23" s="29">
        <f>IF(OR(J23="",K23=""),"",J23/K23)</f>
        <v/>
      </c>
      <c r="M23" s="31" t="n">
        <v>1138.5</v>
      </c>
      <c r="N23" s="32">
        <f>IF(OR(G23="",M23=""),"",G23*M23)</f>
        <v/>
      </c>
      <c r="O23" s="32">
        <f>IF(N23="","",N23*(1-사용법!$C$6))</f>
        <v/>
      </c>
      <c r="P23" s="33" t="inlineStr">
        <is>
          <t>Schwab 공식</t>
        </is>
      </c>
    </row>
    <row r="24">
      <c r="A24" s="24">
        <f>IF($C24="","",YEAR($C24))</f>
        <v/>
      </c>
      <c r="B24" s="25">
        <f>IF($C24="","",ROUNDUP(MONTH($C24)/3,0))</f>
        <v/>
      </c>
      <c r="C24" s="26" t="n">
        <v>42996</v>
      </c>
      <c r="D24" s="26" t="n">
        <v>43000</v>
      </c>
      <c r="E24" s="27" t="n">
        <v>0.3439</v>
      </c>
      <c r="F24" s="24">
        <f>IF($C24="","",IF($C24&lt;DATE(2024,10,11),3,1))</f>
        <v/>
      </c>
      <c r="G24" s="28">
        <f>IF($C24="","",E24/F24)</f>
        <v/>
      </c>
      <c r="H24" s="29">
        <f>IF(OR($C24="",G23=""),"",G24/G23-1)</f>
        <v/>
      </c>
      <c r="I24" s="29">
        <f>IF(OR($C24="",G20=""),"",G24/G20-1)</f>
        <v/>
      </c>
      <c r="J24" s="28">
        <f>IF($C24="","",SUM(G21:G24))</f>
        <v/>
      </c>
      <c r="K24" s="30" t="n">
        <v>15.5667</v>
      </c>
      <c r="L24" s="29">
        <f>IF(OR(J24="",K24=""),"",J24/K24)</f>
        <v/>
      </c>
      <c r="M24" s="31" t="n">
        <v>1134.5</v>
      </c>
      <c r="N24" s="32">
        <f>IF(OR(G24="",M24=""),"",G24*M24)</f>
        <v/>
      </c>
      <c r="O24" s="32">
        <f>IF(N24="","",N24*(1-사용법!$C$6))</f>
        <v/>
      </c>
      <c r="P24" s="33" t="inlineStr">
        <is>
          <t>Schwab 공식</t>
        </is>
      </c>
    </row>
    <row r="25">
      <c r="A25" s="24">
        <f>IF($C25="","",YEAR($C25))</f>
        <v/>
      </c>
      <c r="B25" s="25">
        <f>IF($C25="","",ROUNDUP(MONTH($C25)/3,0))</f>
        <v/>
      </c>
      <c r="C25" s="26" t="n">
        <v>43087</v>
      </c>
      <c r="D25" s="26" t="n">
        <v>43091</v>
      </c>
      <c r="E25" s="27" t="n">
        <v>0.3448</v>
      </c>
      <c r="F25" s="24">
        <f>IF($C25="","",IF($C25&lt;DATE(2024,10,11),3,1))</f>
        <v/>
      </c>
      <c r="G25" s="28">
        <f>IF($C25="","",E25/F25)</f>
        <v/>
      </c>
      <c r="H25" s="29">
        <f>IF(OR($C25="",G24=""),"",G25/G24-1)</f>
        <v/>
      </c>
      <c r="I25" s="29">
        <f>IF(OR($C25="",G21=""),"",G25/G21-1)</f>
        <v/>
      </c>
      <c r="J25" s="28">
        <f>IF($C25="","",SUM(G22:G25))</f>
        <v/>
      </c>
      <c r="K25" s="30" t="n">
        <v>17.0567</v>
      </c>
      <c r="L25" s="29">
        <f>IF(OR(J25="",K25=""),"",J25/K25)</f>
        <v/>
      </c>
      <c r="M25" s="31" t="n">
        <v>1080</v>
      </c>
      <c r="N25" s="32">
        <f>IF(OR(G25="",M25=""),"",G25*M25)</f>
        <v/>
      </c>
      <c r="O25" s="32">
        <f>IF(N25="","",N25*(1-사용법!$C$6))</f>
        <v/>
      </c>
      <c r="P25" s="33" t="inlineStr">
        <is>
          <t>Schwab 공식</t>
        </is>
      </c>
    </row>
    <row r="26">
      <c r="A26" s="24">
        <f>IF($C26="","",YEAR($C26))</f>
        <v/>
      </c>
      <c r="B26" s="25">
        <f>IF($C26="","",ROUNDUP(MONTH($C26)/3,0))</f>
        <v/>
      </c>
      <c r="C26" s="26" t="n">
        <v>43175</v>
      </c>
      <c r="D26" s="26" t="n">
        <v>43181</v>
      </c>
      <c r="E26" s="27" t="n">
        <v>0.2615</v>
      </c>
      <c r="F26" s="24">
        <f>IF($C26="","",IF($C26&lt;DATE(2024,10,11),3,1))</f>
        <v/>
      </c>
      <c r="G26" s="28">
        <f>IF($C26="","",E26/F26)</f>
        <v/>
      </c>
      <c r="H26" s="29">
        <f>IF(OR($C26="",G25=""),"",G26/G25-1)</f>
        <v/>
      </c>
      <c r="I26" s="29">
        <f>IF(OR($C26="",G22=""),"",G26/G22-1)</f>
        <v/>
      </c>
      <c r="J26" s="28">
        <f>IF($C26="","",SUM(G23:G26))</f>
        <v/>
      </c>
      <c r="K26" s="30" t="n">
        <v>16.7967</v>
      </c>
      <c r="L26" s="29">
        <f>IF(OR(J26="",K26=""),"",J26/K26)</f>
        <v/>
      </c>
      <c r="M26" s="31" t="n">
        <v>1080</v>
      </c>
      <c r="N26" s="32">
        <f>IF(OR(G26="",M26=""),"",G26*M26)</f>
        <v/>
      </c>
      <c r="O26" s="32">
        <f>IF(N26="","",N26*(1-사용법!$C$6))</f>
        <v/>
      </c>
      <c r="P26" s="33" t="inlineStr">
        <is>
          <t>Schwab 공식</t>
        </is>
      </c>
    </row>
    <row r="27">
      <c r="A27" s="24">
        <f>IF($C27="","",YEAR($C27))</f>
        <v/>
      </c>
      <c r="B27" s="25">
        <f>IF($C27="","",ROUNDUP(MONTH($C27)/3,0))</f>
        <v/>
      </c>
      <c r="C27" s="26" t="n">
        <v>43277</v>
      </c>
      <c r="D27" s="26" t="n">
        <v>43280</v>
      </c>
      <c r="E27" s="27" t="n">
        <v>0.4056</v>
      </c>
      <c r="F27" s="24">
        <f>IF($C27="","",IF($C27&lt;DATE(2024,10,11),3,1))</f>
        <v/>
      </c>
      <c r="G27" s="28">
        <f>IF($C27="","",E27/F27)</f>
        <v/>
      </c>
      <c r="H27" s="29">
        <f>IF(OR($C27="",G26=""),"",G27/G26-1)</f>
        <v/>
      </c>
      <c r="I27" s="29">
        <f>IF(OR($C27="",G23=""),"",G27/G23-1)</f>
        <v/>
      </c>
      <c r="J27" s="28">
        <f>IF($C27="","",SUM(G24:G27))</f>
        <v/>
      </c>
      <c r="K27" s="30" t="n">
        <v>16.48</v>
      </c>
      <c r="L27" s="29">
        <f>IF(OR(J27="",K27=""),"",J27/K27)</f>
        <v/>
      </c>
      <c r="M27" s="31" t="n">
        <v>1114.5</v>
      </c>
      <c r="N27" s="32">
        <f>IF(OR(G27="",M27=""),"",G27*M27)</f>
        <v/>
      </c>
      <c r="O27" s="32">
        <f>IF(N27="","",N27*(1-사용법!$C$6))</f>
        <v/>
      </c>
      <c r="P27" s="33" t="inlineStr">
        <is>
          <t>Schwab 공식</t>
        </is>
      </c>
    </row>
    <row r="28">
      <c r="A28" s="24">
        <f>IF($C28="","",YEAR($C28))</f>
        <v/>
      </c>
      <c r="B28" s="25">
        <f>IF($C28="","",ROUNDUP(MONTH($C28)/3,0))</f>
        <v/>
      </c>
      <c r="C28" s="26" t="n">
        <v>43368</v>
      </c>
      <c r="D28" s="26" t="n">
        <v>43371</v>
      </c>
      <c r="E28" s="27" t="n">
        <v>0.3668</v>
      </c>
      <c r="F28" s="24">
        <f>IF($C28="","",IF($C28&lt;DATE(2024,10,11),3,1))</f>
        <v/>
      </c>
      <c r="G28" s="28">
        <f>IF($C28="","",E28/F28)</f>
        <v/>
      </c>
      <c r="H28" s="29">
        <f>IF(OR($C28="",G27=""),"",G28/G27-1)</f>
        <v/>
      </c>
      <c r="I28" s="29">
        <f>IF(OR($C28="",G24=""),"",G28/G24-1)</f>
        <v/>
      </c>
      <c r="J28" s="28">
        <f>IF($C28="","",SUM(G25:G28))</f>
        <v/>
      </c>
      <c r="K28" s="30" t="n">
        <v>17.6667</v>
      </c>
      <c r="L28" s="29">
        <f>IF(OR(J28="",K28=""),"",J28/K28)</f>
        <v/>
      </c>
      <c r="M28" s="31" t="n">
        <v>1111</v>
      </c>
      <c r="N28" s="32">
        <f>IF(OR(G28="",M28=""),"",G28*M28)</f>
        <v/>
      </c>
      <c r="O28" s="32">
        <f>IF(N28="","",N28*(1-사용법!$C$6))</f>
        <v/>
      </c>
      <c r="P28" s="33" t="inlineStr">
        <is>
          <t>Schwab 공식</t>
        </is>
      </c>
    </row>
    <row r="29">
      <c r="A29" s="24">
        <f>IF($C29="","",YEAR($C29))</f>
        <v/>
      </c>
      <c r="B29" s="25">
        <f>IF($C29="","",ROUNDUP(MONTH($C29)/3,0))</f>
        <v/>
      </c>
      <c r="C29" s="26" t="n">
        <v>43446</v>
      </c>
      <c r="D29" s="26" t="n">
        <v>43451</v>
      </c>
      <c r="E29" s="27" t="n">
        <v>0.4054</v>
      </c>
      <c r="F29" s="24">
        <f>IF($C29="","",IF($C29&lt;DATE(2024,10,11),3,1))</f>
        <v/>
      </c>
      <c r="G29" s="28">
        <f>IF($C29="","",E29/F29)</f>
        <v/>
      </c>
      <c r="H29" s="29">
        <f>IF(OR($C29="",G28=""),"",G29/G28-1)</f>
        <v/>
      </c>
      <c r="I29" s="29">
        <f>IF(OR($C29="",G25=""),"",G29/G25-1)</f>
        <v/>
      </c>
      <c r="J29" s="28">
        <f>IF($C29="","",SUM(G26:G29))</f>
        <v/>
      </c>
      <c r="K29" s="30" t="n">
        <v>16.3467</v>
      </c>
      <c r="L29" s="29">
        <f>IF(OR(J29="",K29=""),"",J29/K29)</f>
        <v/>
      </c>
      <c r="M29" s="31" t="n">
        <v>1131.5</v>
      </c>
      <c r="N29" s="32">
        <f>IF(OR(G29="",M29=""),"",G29*M29)</f>
        <v/>
      </c>
      <c r="O29" s="32">
        <f>IF(N29="","",N29*(1-사용법!$C$6))</f>
        <v/>
      </c>
      <c r="P29" s="33" t="inlineStr">
        <is>
          <t>Schwab 공식</t>
        </is>
      </c>
    </row>
    <row r="30">
      <c r="A30" s="24">
        <f>IF($C30="","",YEAR($C30))</f>
        <v/>
      </c>
      <c r="B30" s="25">
        <f>IF($C30="","",ROUNDUP(MONTH($C30)/3,0))</f>
        <v/>
      </c>
      <c r="C30" s="26" t="n">
        <v>43544</v>
      </c>
      <c r="D30" s="26" t="n">
        <v>43549</v>
      </c>
      <c r="E30" s="27" t="n">
        <v>0.352</v>
      </c>
      <c r="F30" s="24">
        <f>IF($C30="","",IF($C30&lt;DATE(2024,10,11),3,1))</f>
        <v/>
      </c>
      <c r="G30" s="28">
        <f>IF($C30="","",E30/F30)</f>
        <v/>
      </c>
      <c r="H30" s="29">
        <f>IF(OR($C30="",G29=""),"",G30/G29-1)</f>
        <v/>
      </c>
      <c r="I30" s="29">
        <f>IF(OR($C30="",G26=""),"",G30/G26-1)</f>
        <v/>
      </c>
      <c r="J30" s="28">
        <f>IF($C30="","",SUM(G27:G30))</f>
        <v/>
      </c>
      <c r="K30" s="30" t="n">
        <v>17.2633</v>
      </c>
      <c r="L30" s="29">
        <f>IF(OR(J30="",K30=""),"",J30/K30)</f>
        <v/>
      </c>
      <c r="M30" s="31" t="n">
        <v>1134</v>
      </c>
      <c r="N30" s="32">
        <f>IF(OR(G30="",M30=""),"",G30*M30)</f>
        <v/>
      </c>
      <c r="O30" s="32">
        <f>IF(N30="","",N30*(1-사용법!$C$6))</f>
        <v/>
      </c>
      <c r="P30" s="33" t="inlineStr">
        <is>
          <t>Schwab 공식</t>
        </is>
      </c>
    </row>
    <row r="31">
      <c r="A31" s="24">
        <f>IF($C31="","",YEAR($C31))</f>
        <v/>
      </c>
      <c r="B31" s="25">
        <f>IF($C31="","",ROUNDUP(MONTH($C31)/3,0))</f>
        <v/>
      </c>
      <c r="C31" s="26" t="n">
        <v>43642</v>
      </c>
      <c r="D31" s="26" t="n">
        <v>43647</v>
      </c>
      <c r="E31" s="27" t="n">
        <v>0.4209</v>
      </c>
      <c r="F31" s="24">
        <f>IF($C31="","",IF($C31&lt;DATE(2024,10,11),3,1))</f>
        <v/>
      </c>
      <c r="G31" s="28">
        <f>IF($C31="","",E31/F31)</f>
        <v/>
      </c>
      <c r="H31" s="29">
        <f>IF(OR($C31="",G30=""),"",G31/G30-1)</f>
        <v/>
      </c>
      <c r="I31" s="29">
        <f>IF(OR($C31="",G27=""),"",G31/G27-1)</f>
        <v/>
      </c>
      <c r="J31" s="28">
        <f>IF($C31="","",SUM(G28:G31))</f>
        <v/>
      </c>
      <c r="K31" s="30" t="n">
        <v>17.5767</v>
      </c>
      <c r="L31" s="29">
        <f>IF(OR(J31="",K31=""),"",J31/K31)</f>
        <v/>
      </c>
      <c r="M31" s="31" t="n">
        <v>1163</v>
      </c>
      <c r="N31" s="32">
        <f>IF(OR(G31="",M31=""),"",G31*M31)</f>
        <v/>
      </c>
      <c r="O31" s="32">
        <f>IF(N31="","",N31*(1-사용법!$C$6))</f>
        <v/>
      </c>
      <c r="P31" s="33" t="inlineStr">
        <is>
          <t>Schwab 공식</t>
        </is>
      </c>
    </row>
    <row r="32">
      <c r="A32" s="24">
        <f>IF($C32="","",YEAR($C32))</f>
        <v/>
      </c>
      <c r="B32" s="25">
        <f>IF($C32="","",ROUNDUP(MONTH($C32)/3,0))</f>
        <v/>
      </c>
      <c r="C32" s="26" t="n">
        <v>43733</v>
      </c>
      <c r="D32" s="26" t="n">
        <v>43738</v>
      </c>
      <c r="E32" s="27" t="n">
        <v>0.4855</v>
      </c>
      <c r="F32" s="24">
        <f>IF($C32="","",IF($C32&lt;DATE(2024,10,11),3,1))</f>
        <v/>
      </c>
      <c r="G32" s="28">
        <f>IF($C32="","",E32/F32)</f>
        <v/>
      </c>
      <c r="H32" s="29">
        <f>IF(OR($C32="",G31=""),"",G32/G31-1)</f>
        <v/>
      </c>
      <c r="I32" s="29">
        <f>IF(OR($C32="",G28=""),"",G32/G28-1)</f>
        <v/>
      </c>
      <c r="J32" s="28">
        <f>IF($C32="","",SUM(G29:G32))</f>
        <v/>
      </c>
      <c r="K32" s="30" t="n">
        <v>18.13</v>
      </c>
      <c r="L32" s="29">
        <f>IF(OR(J32="",K32=""),"",J32/K32)</f>
        <v/>
      </c>
      <c r="M32" s="31" t="n">
        <v>1199</v>
      </c>
      <c r="N32" s="32">
        <f>IF(OR(G32="",M32=""),"",G32*M32)</f>
        <v/>
      </c>
      <c r="O32" s="32">
        <f>IF(N32="","",N32*(1-사용법!$C$6))</f>
        <v/>
      </c>
      <c r="P32" s="33" t="inlineStr">
        <is>
          <t>Schwab 공식</t>
        </is>
      </c>
    </row>
    <row r="33">
      <c r="A33" s="24">
        <f>IF($C33="","",YEAR($C33))</f>
        <v/>
      </c>
      <c r="B33" s="25">
        <f>IF($C33="","",ROUNDUP(MONTH($C33)/3,0))</f>
        <v/>
      </c>
      <c r="C33" s="26" t="n">
        <v>43811</v>
      </c>
      <c r="D33" s="26" t="n">
        <v>43816</v>
      </c>
      <c r="E33" s="27" t="n">
        <v>0.4658</v>
      </c>
      <c r="F33" s="24">
        <f>IF($C33="","",IF($C33&lt;DATE(2024,10,11),3,1))</f>
        <v/>
      </c>
      <c r="G33" s="28">
        <f>IF($C33="","",E33/F33)</f>
        <v/>
      </c>
      <c r="H33" s="29">
        <f>IF(OR($C33="",G32=""),"",G33/G32-1)</f>
        <v/>
      </c>
      <c r="I33" s="29">
        <f>IF(OR($C33="",G29=""),"",G33/G29-1)</f>
        <v/>
      </c>
      <c r="J33" s="28">
        <f>IF($C33="","",SUM(G30:G33))</f>
        <v/>
      </c>
      <c r="K33" s="30" t="n">
        <v>19.17</v>
      </c>
      <c r="L33" s="29">
        <f>IF(OR(J33="",K33=""),"",J33/K33)</f>
        <v/>
      </c>
      <c r="M33" s="31" t="n">
        <v>1167</v>
      </c>
      <c r="N33" s="32">
        <f>IF(OR(G33="",M33=""),"",G33*M33)</f>
        <v/>
      </c>
      <c r="O33" s="32">
        <f>IF(N33="","",N33*(1-사용법!$C$6))</f>
        <v/>
      </c>
      <c r="P33" s="33" t="inlineStr">
        <is>
          <t>Schwab 공식</t>
        </is>
      </c>
    </row>
    <row r="34">
      <c r="A34" s="24">
        <f>IF($C34="","",YEAR($C34))</f>
        <v/>
      </c>
      <c r="B34" s="25">
        <f>IF($C34="","",ROUNDUP(MONTH($C34)/3,0))</f>
        <v/>
      </c>
      <c r="C34" s="26" t="n">
        <v>43915</v>
      </c>
      <c r="D34" s="26" t="n">
        <v>43920</v>
      </c>
      <c r="E34" s="27" t="n">
        <v>0.4419</v>
      </c>
      <c r="F34" s="24">
        <f>IF($C34="","",IF($C34&lt;DATE(2024,10,11),3,1))</f>
        <v/>
      </c>
      <c r="G34" s="28">
        <f>IF($C34="","",E34/F34)</f>
        <v/>
      </c>
      <c r="H34" s="29">
        <f>IF(OR($C34="",G33=""),"",G34/G33-1)</f>
        <v/>
      </c>
      <c r="I34" s="29">
        <f>IF(OR($C34="",G30=""),"",G34/G30-1)</f>
        <v/>
      </c>
      <c r="J34" s="28">
        <f>IF($C34="","",SUM(G31:G34))</f>
        <v/>
      </c>
      <c r="K34" s="30" t="n">
        <v>14.2067</v>
      </c>
      <c r="L34" s="29">
        <f>IF(OR(J34="",K34=""),"",J34/K34)</f>
        <v/>
      </c>
      <c r="M34" s="31" t="n">
        <v>1224</v>
      </c>
      <c r="N34" s="32">
        <f>IF(OR(G34="",M34=""),"",G34*M34)</f>
        <v/>
      </c>
      <c r="O34" s="32">
        <f>IF(N34="","",N34*(1-사용법!$C$6))</f>
        <v/>
      </c>
      <c r="P34" s="33" t="inlineStr">
        <is>
          <t>Schwab 공식</t>
        </is>
      </c>
    </row>
    <row r="35">
      <c r="A35" s="24">
        <f>IF($C35="","",YEAR($C35))</f>
        <v/>
      </c>
      <c r="B35" s="25">
        <f>IF($C35="","",ROUNDUP(MONTH($C35)/3,0))</f>
        <v/>
      </c>
      <c r="C35" s="26" t="n">
        <v>44006</v>
      </c>
      <c r="D35" s="26" t="n">
        <v>44011</v>
      </c>
      <c r="E35" s="27" t="n">
        <v>0.442</v>
      </c>
      <c r="F35" s="24">
        <f>IF($C35="","",IF($C35&lt;DATE(2024,10,11),3,1))</f>
        <v/>
      </c>
      <c r="G35" s="28">
        <f>IF($C35="","",E35/F35)</f>
        <v/>
      </c>
      <c r="H35" s="29">
        <f>IF(OR($C35="",G34=""),"",G35/G34-1)</f>
        <v/>
      </c>
      <c r="I35" s="29">
        <f>IF(OR($C35="",G31=""),"",G35/G31-1)</f>
        <v/>
      </c>
      <c r="J35" s="28">
        <f>IF($C35="","",SUM(G32:G35))</f>
        <v/>
      </c>
      <c r="K35" s="30" t="n">
        <v>16.89</v>
      </c>
      <c r="L35" s="29">
        <f>IF(OR(J35="",K35=""),"",J35/K35)</f>
        <v/>
      </c>
      <c r="M35" s="31" t="n">
        <v>1200.5</v>
      </c>
      <c r="N35" s="32">
        <f>IF(OR(G35="",M35=""),"",G35*M35)</f>
        <v/>
      </c>
      <c r="O35" s="32">
        <f>IF(N35="","",N35*(1-사용법!$C$6))</f>
        <v/>
      </c>
      <c r="P35" s="33" t="inlineStr">
        <is>
          <t>Schwab 공식</t>
        </is>
      </c>
    </row>
    <row r="36">
      <c r="A36" s="24">
        <f>IF($C36="","",YEAR($C36))</f>
        <v/>
      </c>
      <c r="B36" s="25">
        <f>IF($C36="","",ROUNDUP(MONTH($C36)/3,0))</f>
        <v/>
      </c>
      <c r="C36" s="26" t="n">
        <v>44097</v>
      </c>
      <c r="D36" s="26" t="n">
        <v>44102</v>
      </c>
      <c r="E36" s="27" t="n">
        <v>0.543</v>
      </c>
      <c r="F36" s="24">
        <f>IF($C36="","",IF($C36&lt;DATE(2024,10,11),3,1))</f>
        <v/>
      </c>
      <c r="G36" s="28">
        <f>IF($C36="","",E36/F36)</f>
        <v/>
      </c>
      <c r="H36" s="29">
        <f>IF(OR($C36="",G35=""),"",G36/G35-1)</f>
        <v/>
      </c>
      <c r="I36" s="29">
        <f>IF(OR($C36="",G32=""),"",G36/G32-1)</f>
        <v/>
      </c>
      <c r="J36" s="28">
        <f>IF($C36="","",SUM(G33:G36))</f>
        <v/>
      </c>
      <c r="K36" s="30" t="n">
        <v>17.8433</v>
      </c>
      <c r="L36" s="29">
        <f>IF(OR(J36="",K36=""),"",J36/K36)</f>
        <v/>
      </c>
      <c r="M36" s="31" t="n">
        <v>1170</v>
      </c>
      <c r="N36" s="32">
        <f>IF(OR(G36="",M36=""),"",G36*M36)</f>
        <v/>
      </c>
      <c r="O36" s="32">
        <f>IF(N36="","",N36*(1-사용법!$C$6))</f>
        <v/>
      </c>
      <c r="P36" s="33" t="inlineStr">
        <is>
          <t>Schwab 공식</t>
        </is>
      </c>
    </row>
    <row r="37">
      <c r="A37" s="24">
        <f>IF($C37="","",YEAR($C37))</f>
        <v/>
      </c>
      <c r="B37" s="25">
        <f>IF($C37="","",ROUNDUP(MONTH($C37)/3,0))</f>
        <v/>
      </c>
      <c r="C37" s="26" t="n">
        <v>44175</v>
      </c>
      <c r="D37" s="26" t="n">
        <v>44180</v>
      </c>
      <c r="E37" s="27" t="n">
        <v>0.6015</v>
      </c>
      <c r="F37" s="24">
        <f>IF($C37="","",IF($C37&lt;DATE(2024,10,11),3,1))</f>
        <v/>
      </c>
      <c r="G37" s="28">
        <f>IF($C37="","",E37/F37)</f>
        <v/>
      </c>
      <c r="H37" s="29">
        <f>IF(OR($C37="",G36=""),"",G37/G36-1)</f>
        <v/>
      </c>
      <c r="I37" s="29">
        <f>IF(OR($C37="",G33=""),"",G37/G33-1)</f>
        <v/>
      </c>
      <c r="J37" s="28">
        <f>IF($C37="","",SUM(G34:G37))</f>
        <v/>
      </c>
      <c r="K37" s="30" t="n">
        <v>21.42</v>
      </c>
      <c r="L37" s="29">
        <f>IF(OR(J37="",K37=""),"",J37/K37)</f>
        <v/>
      </c>
      <c r="M37" s="31" t="n">
        <v>1094.5</v>
      </c>
      <c r="N37" s="32">
        <f>IF(OR(G37="",M37=""),"",G37*M37)</f>
        <v/>
      </c>
      <c r="O37" s="32">
        <f>IF(N37="","",N37*(1-사용법!$C$6))</f>
        <v/>
      </c>
      <c r="P37" s="33" t="inlineStr">
        <is>
          <t>Schwab 공식</t>
        </is>
      </c>
    </row>
    <row r="38">
      <c r="A38" s="24">
        <f>IF($C38="","",YEAR($C38))</f>
        <v/>
      </c>
      <c r="B38" s="25">
        <f>IF($C38="","",ROUNDUP(MONTH($C38)/3,0))</f>
        <v/>
      </c>
      <c r="C38" s="26" t="n">
        <v>44279</v>
      </c>
      <c r="D38" s="26" t="n">
        <v>44284</v>
      </c>
      <c r="E38" s="27" t="n">
        <v>0.5026</v>
      </c>
      <c r="F38" s="24">
        <f>IF($C38="","",IF($C38&lt;DATE(2024,10,11),3,1))</f>
        <v/>
      </c>
      <c r="G38" s="28">
        <f>IF($C38="","",E38/F38)</f>
        <v/>
      </c>
      <c r="H38" s="29">
        <f>IF(OR($C38="",G37=""),"",G38/G37-1)</f>
        <v/>
      </c>
      <c r="I38" s="29">
        <f>IF(OR($C38="",G34=""),"",G38/G34-1)</f>
        <v/>
      </c>
      <c r="J38" s="28">
        <f>IF($C38="","",SUM(G35:G38))</f>
        <v/>
      </c>
      <c r="K38" s="30" t="n">
        <v>23.69</v>
      </c>
      <c r="L38" s="29">
        <f>IF(OR(J38="",K38=""),"",J38/K38)</f>
        <v/>
      </c>
      <c r="M38" s="31" t="n">
        <v>1132.5</v>
      </c>
      <c r="N38" s="32">
        <f>IF(OR(G38="",M38=""),"",G38*M38)</f>
        <v/>
      </c>
      <c r="O38" s="32">
        <f>IF(N38="","",N38*(1-사용법!$C$6))</f>
        <v/>
      </c>
      <c r="P38" s="33" t="inlineStr">
        <is>
          <t>Schwab 공식</t>
        </is>
      </c>
    </row>
    <row r="39">
      <c r="A39" s="24">
        <f>IF($C39="","",YEAR($C39))</f>
        <v/>
      </c>
      <c r="B39" s="25">
        <f>IF($C39="","",ROUNDUP(MONTH($C39)/3,0))</f>
        <v/>
      </c>
      <c r="C39" s="26" t="n">
        <v>44370</v>
      </c>
      <c r="D39" s="26" t="n">
        <v>44375</v>
      </c>
      <c r="E39" s="27" t="n">
        <v>0.5396</v>
      </c>
      <c r="F39" s="24">
        <f>IF($C39="","",IF($C39&lt;DATE(2024,10,11),3,1))</f>
        <v/>
      </c>
      <c r="G39" s="28">
        <f>IF($C39="","",E39/F39)</f>
        <v/>
      </c>
      <c r="H39" s="29">
        <f>IF(OR($C39="",G38=""),"",G39/G38-1)</f>
        <v/>
      </c>
      <c r="I39" s="29">
        <f>IF(OR($C39="",G35=""),"",G39/G35-1)</f>
        <v/>
      </c>
      <c r="J39" s="28">
        <f>IF($C39="","",SUM(G36:G39))</f>
        <v/>
      </c>
      <c r="K39" s="30" t="n">
        <v>24.8433</v>
      </c>
      <c r="L39" s="29">
        <f>IF(OR(J39="",K39=""),"",J39/K39)</f>
        <v/>
      </c>
      <c r="M39" s="31" t="n">
        <v>1131.5</v>
      </c>
      <c r="N39" s="32">
        <f>IF(OR(G39="",M39=""),"",G39*M39)</f>
        <v/>
      </c>
      <c r="O39" s="32">
        <f>IF(N39="","",N39*(1-사용법!$C$6))</f>
        <v/>
      </c>
      <c r="P39" s="33" t="inlineStr">
        <is>
          <t>Schwab 공식</t>
        </is>
      </c>
    </row>
    <row r="40">
      <c r="A40" s="24">
        <f>IF($C40="","",YEAR($C40))</f>
        <v/>
      </c>
      <c r="B40" s="25">
        <f>IF($C40="","",ROUNDUP(MONTH($C40)/3,0))</f>
        <v/>
      </c>
      <c r="C40" s="26" t="n">
        <v>44461</v>
      </c>
      <c r="D40" s="26" t="n">
        <v>44466</v>
      </c>
      <c r="E40" s="27" t="n">
        <v>0.587</v>
      </c>
      <c r="F40" s="24">
        <f>IF($C40="","",IF($C40&lt;DATE(2024,10,11),3,1))</f>
        <v/>
      </c>
      <c r="G40" s="28">
        <f>IF($C40="","",E40/F40)</f>
        <v/>
      </c>
      <c r="H40" s="29">
        <f>IF(OR($C40="",G39=""),"",G40/G39-1)</f>
        <v/>
      </c>
      <c r="I40" s="29">
        <f>IF(OR($C40="",G36=""),"",G40/G36-1)</f>
        <v/>
      </c>
      <c r="J40" s="28">
        <f>IF($C40="","",SUM(G37:G40))</f>
        <v/>
      </c>
      <c r="K40" s="30" t="n">
        <v>24.7633</v>
      </c>
      <c r="L40" s="29">
        <f>IF(OR(J40="",K40=""),"",J40/K40)</f>
        <v/>
      </c>
      <c r="M40" s="31" t="n">
        <v>1181</v>
      </c>
      <c r="N40" s="32">
        <f>IF(OR(G40="",M40=""),"",G40*M40)</f>
        <v/>
      </c>
      <c r="O40" s="32">
        <f>IF(N40="","",N40*(1-사용법!$C$6))</f>
        <v/>
      </c>
      <c r="P40" s="33" t="inlineStr">
        <is>
          <t>Schwab 공식</t>
        </is>
      </c>
    </row>
    <row r="41">
      <c r="A41" s="24">
        <f>IF($C41="","",YEAR($C41))</f>
        <v/>
      </c>
      <c r="B41" s="25">
        <f>IF($C41="","",ROUNDUP(MONTH($C41)/3,0))</f>
        <v/>
      </c>
      <c r="C41" s="26" t="n">
        <v>44538</v>
      </c>
      <c r="D41" s="26" t="n">
        <v>44543</v>
      </c>
      <c r="E41" s="27" t="n">
        <v>0.6198</v>
      </c>
      <c r="F41" s="24">
        <f>IF($C41="","",IF($C41&lt;DATE(2024,10,11),3,1))</f>
        <v/>
      </c>
      <c r="G41" s="28">
        <f>IF($C41="","",E41/F41)</f>
        <v/>
      </c>
      <c r="H41" s="29">
        <f>IF(OR($C41="",G40=""),"",G41/G40-1)</f>
        <v/>
      </c>
      <c r="I41" s="29">
        <f>IF(OR($C41="",G37=""),"",G41/G37-1)</f>
        <v/>
      </c>
      <c r="J41" s="28">
        <f>IF($C41="","",SUM(G38:G41))</f>
        <v/>
      </c>
      <c r="K41" s="30" t="n">
        <v>25.8767</v>
      </c>
      <c r="L41" s="29">
        <f>IF(OR(J41="",K41=""),"",J41/K41)</f>
        <v/>
      </c>
      <c r="M41" s="31" t="n">
        <v>1182</v>
      </c>
      <c r="N41" s="32">
        <f>IF(OR(G41="",M41=""),"",G41*M41)</f>
        <v/>
      </c>
      <c r="O41" s="32">
        <f>IF(N41="","",N41*(1-사용법!$C$6))</f>
        <v/>
      </c>
      <c r="P41" s="33" t="inlineStr">
        <is>
          <t>Schwab 공식</t>
        </is>
      </c>
    </row>
    <row r="42">
      <c r="A42" s="24">
        <f>IF($C42="","",YEAR($C42))</f>
        <v/>
      </c>
      <c r="B42" s="25">
        <f>IF($C42="","",ROUNDUP(MONTH($C42)/3,0))</f>
        <v/>
      </c>
      <c r="C42" s="26" t="n">
        <v>44643</v>
      </c>
      <c r="D42" s="26" t="n">
        <v>44648</v>
      </c>
      <c r="E42" s="27" t="n">
        <v>0.5175999999999999</v>
      </c>
      <c r="F42" s="24">
        <f>IF($C42="","",IF($C42&lt;DATE(2024,10,11),3,1))</f>
        <v/>
      </c>
      <c r="G42" s="28">
        <f>IF($C42="","",E42/F42)</f>
        <v/>
      </c>
      <c r="H42" s="29">
        <f>IF(OR($C42="",G41=""),"",G42/G41-1)</f>
        <v/>
      </c>
      <c r="I42" s="29">
        <f>IF(OR($C42="",G38=""),"",G42/G38-1)</f>
        <v/>
      </c>
      <c r="J42" s="28">
        <f>IF($C42="","",SUM(G39:G42))</f>
        <v/>
      </c>
      <c r="K42" s="30" t="n">
        <v>25.9867</v>
      </c>
      <c r="L42" s="29">
        <f>IF(OR(J42="",K42=""),"",J42/K42)</f>
        <v/>
      </c>
      <c r="M42" s="31" t="n">
        <v>1224.5</v>
      </c>
      <c r="N42" s="32">
        <f>IF(OR(G42="",M42=""),"",G42*M42)</f>
        <v/>
      </c>
      <c r="O42" s="32">
        <f>IF(N42="","",N42*(1-사용법!$C$6))</f>
        <v/>
      </c>
      <c r="P42" s="33" t="inlineStr">
        <is>
          <t>Schwab 공식</t>
        </is>
      </c>
    </row>
    <row r="43">
      <c r="A43" s="24">
        <f>IF($C43="","",YEAR($C43))</f>
        <v/>
      </c>
      <c r="B43" s="25">
        <f>IF($C43="","",ROUNDUP(MONTH($C43)/3,0))</f>
        <v/>
      </c>
      <c r="C43" s="26" t="n">
        <v>44734</v>
      </c>
      <c r="D43" s="26" t="n">
        <v>44739</v>
      </c>
      <c r="E43" s="27" t="n">
        <v>0.7038</v>
      </c>
      <c r="F43" s="24">
        <f>IF($C43="","",IF($C43&lt;DATE(2024,10,11),3,1))</f>
        <v/>
      </c>
      <c r="G43" s="28">
        <f>IF($C43="","",E43/F43)</f>
        <v/>
      </c>
      <c r="H43" s="29">
        <f>IF(OR($C43="",G42=""),"",G43/G42-1)</f>
        <v/>
      </c>
      <c r="I43" s="29">
        <f>IF(OR($C43="",G39=""),"",G43/G39-1)</f>
        <v/>
      </c>
      <c r="J43" s="28">
        <f>IF($C43="","",SUM(G40:G43))</f>
        <v/>
      </c>
      <c r="K43" s="30" t="n">
        <v>23.6333</v>
      </c>
      <c r="L43" s="29">
        <f>IF(OR(J43="",K43=""),"",J43/K43)</f>
        <v/>
      </c>
      <c r="M43" s="31" t="n">
        <v>1285</v>
      </c>
      <c r="N43" s="32">
        <f>IF(OR(G43="",M43=""),"",G43*M43)</f>
        <v/>
      </c>
      <c r="O43" s="32">
        <f>IF(N43="","",N43*(1-사용법!$C$6))</f>
        <v/>
      </c>
      <c r="P43" s="33" t="inlineStr">
        <is>
          <t>Schwab 공식</t>
        </is>
      </c>
    </row>
    <row r="44">
      <c r="A44" s="24">
        <f>IF($C44="","",YEAR($C44))</f>
        <v/>
      </c>
      <c r="B44" s="25">
        <f>IF($C44="","",ROUNDUP(MONTH($C44)/3,0))</f>
        <v/>
      </c>
      <c r="C44" s="26" t="n">
        <v>44825</v>
      </c>
      <c r="D44" s="26" t="n">
        <v>44830</v>
      </c>
      <c r="E44" s="27" t="n">
        <v>0.6367</v>
      </c>
      <c r="F44" s="24">
        <f>IF($C44="","",IF($C44&lt;DATE(2024,10,11),3,1))</f>
        <v/>
      </c>
      <c r="G44" s="28">
        <f>IF($C44="","",E44/F44)</f>
        <v/>
      </c>
      <c r="H44" s="29">
        <f>IF(OR($C44="",G43=""),"",G44/G43-1)</f>
        <v/>
      </c>
      <c r="I44" s="29">
        <f>IF(OR($C44="",G40=""),"",G44/G40-1)</f>
        <v/>
      </c>
      <c r="J44" s="28">
        <f>IF($C44="","",SUM(G41:G44))</f>
        <v/>
      </c>
      <c r="K44" s="30" t="n">
        <v>23.1367</v>
      </c>
      <c r="L44" s="29">
        <f>IF(OR(J44="",K44=""),"",J44/K44)</f>
        <v/>
      </c>
      <c r="M44" s="31" t="n">
        <v>1425</v>
      </c>
      <c r="N44" s="32">
        <f>IF(OR(G44="",M44=""),"",G44*M44)</f>
        <v/>
      </c>
      <c r="O44" s="32">
        <f>IF(N44="","",N44*(1-사용법!$C$6))</f>
        <v/>
      </c>
      <c r="P44" s="33" t="inlineStr">
        <is>
          <t>Schwab 공식</t>
        </is>
      </c>
    </row>
    <row r="45">
      <c r="A45" s="24">
        <f>IF($C45="","",YEAR($C45))</f>
        <v/>
      </c>
      <c r="B45" s="25">
        <f>IF($C45="","",ROUNDUP(MONTH($C45)/3,0))</f>
        <v/>
      </c>
      <c r="C45" s="26" t="n">
        <v>44902</v>
      </c>
      <c r="D45" s="26" t="n">
        <v>44907</v>
      </c>
      <c r="E45" s="27" t="n">
        <v>0.7034</v>
      </c>
      <c r="F45" s="24">
        <f>IF($C45="","",IF($C45&lt;DATE(2024,10,11),3,1))</f>
        <v/>
      </c>
      <c r="G45" s="28">
        <f>IF($C45="","",E45/F45)</f>
        <v/>
      </c>
      <c r="H45" s="29">
        <f>IF(OR($C45="",G44=""),"",G45/G44-1)</f>
        <v/>
      </c>
      <c r="I45" s="29">
        <f>IF(OR($C45="",G41=""),"",G45/G41-1)</f>
        <v/>
      </c>
      <c r="J45" s="28">
        <f>IF($C45="","",SUM(G42:G45))</f>
        <v/>
      </c>
      <c r="K45" s="30" t="n">
        <v>25.3433</v>
      </c>
      <c r="L45" s="29">
        <f>IF(OR(J45="",K45=""),"",J45/K45)</f>
        <v/>
      </c>
      <c r="M45" s="31" t="n">
        <v>1309</v>
      </c>
      <c r="N45" s="32">
        <f>IF(OR(G45="",M45=""),"",G45*M45)</f>
        <v/>
      </c>
      <c r="O45" s="32">
        <f>IF(N45="","",N45*(1-사용법!$C$6))</f>
        <v/>
      </c>
      <c r="P45" s="33" t="inlineStr">
        <is>
          <t>Schwab 공식</t>
        </is>
      </c>
    </row>
    <row r="46">
      <c r="A46" s="24">
        <f>IF($C46="","",YEAR($C46))</f>
        <v/>
      </c>
      <c r="B46" s="25">
        <f>IF($C46="","",ROUNDUP(MONTH($C46)/3,0))</f>
        <v/>
      </c>
      <c r="C46" s="26" t="n">
        <v>45007</v>
      </c>
      <c r="D46" s="26" t="n">
        <v>45012</v>
      </c>
      <c r="E46" s="27" t="n">
        <v>0.5965</v>
      </c>
      <c r="F46" s="24">
        <f>IF($C46="","",IF($C46&lt;DATE(2024,10,11),3,1))</f>
        <v/>
      </c>
      <c r="G46" s="28">
        <f>IF($C46="","",E46/F46)</f>
        <v/>
      </c>
      <c r="H46" s="29">
        <f>IF(OR($C46="",G45=""),"",G46/G45-1)</f>
        <v/>
      </c>
      <c r="I46" s="29">
        <f>IF(OR($C46="",G42=""),"",G46/G42-1)</f>
        <v/>
      </c>
      <c r="J46" s="28">
        <f>IF($C46="","",SUM(G43:G46))</f>
        <v/>
      </c>
      <c r="K46" s="30" t="n">
        <v>23.4467</v>
      </c>
      <c r="L46" s="29">
        <f>IF(OR(J46="",K46=""),"",J46/K46)</f>
        <v/>
      </c>
      <c r="M46" s="31" t="n">
        <v>1300</v>
      </c>
      <c r="N46" s="32">
        <f>IF(OR(G46="",M46=""),"",G46*M46)</f>
        <v/>
      </c>
      <c r="O46" s="32">
        <f>IF(N46="","",N46*(1-사용법!$C$6))</f>
        <v/>
      </c>
      <c r="P46" s="33" t="inlineStr">
        <is>
          <t>Schwab 공식</t>
        </is>
      </c>
    </row>
    <row r="47">
      <c r="A47" s="24">
        <f>IF($C47="","",YEAR($C47))</f>
        <v/>
      </c>
      <c r="B47" s="25">
        <f>IF($C47="","",ROUNDUP(MONTH($C47)/3,0))</f>
        <v/>
      </c>
      <c r="C47" s="26" t="n">
        <v>45098</v>
      </c>
      <c r="D47" s="26" t="n">
        <v>45103</v>
      </c>
      <c r="E47" s="27" t="n">
        <v>0.6647</v>
      </c>
      <c r="F47" s="24">
        <f>IF($C47="","",IF($C47&lt;DATE(2024,10,11),3,1))</f>
        <v/>
      </c>
      <c r="G47" s="28">
        <f>IF($C47="","",E47/F47)</f>
        <v/>
      </c>
      <c r="H47" s="29">
        <f>IF(OR($C47="",G46=""),"",G47/G46-1)</f>
        <v/>
      </c>
      <c r="I47" s="29">
        <f>IF(OR($C47="",G43=""),"",G47/G43-1)</f>
        <v/>
      </c>
      <c r="J47" s="28">
        <f>IF($C47="","",SUM(G44:G47))</f>
        <v/>
      </c>
      <c r="K47" s="30" t="n">
        <v>23.91</v>
      </c>
      <c r="L47" s="29">
        <f>IF(OR(J47="",K47=""),"",J47/K47)</f>
        <v/>
      </c>
      <c r="M47" s="31" t="n">
        <v>1307</v>
      </c>
      <c r="N47" s="32">
        <f>IF(OR(G47="",M47=""),"",G47*M47)</f>
        <v/>
      </c>
      <c r="O47" s="32">
        <f>IF(N47="","",N47*(1-사용법!$C$6))</f>
        <v/>
      </c>
      <c r="P47" s="33" t="inlineStr">
        <is>
          <t>Schwab 공식</t>
        </is>
      </c>
    </row>
    <row r="48">
      <c r="A48" s="24">
        <f>IF($C48="","",YEAR($C48))</f>
        <v/>
      </c>
      <c r="B48" s="25">
        <f>IF($C48="","",ROUNDUP(MONTH($C48)/3,0))</f>
        <v/>
      </c>
      <c r="C48" s="26" t="n">
        <v>45189</v>
      </c>
      <c r="D48" s="26" t="n">
        <v>45194</v>
      </c>
      <c r="E48" s="27" t="n">
        <v>0.6545</v>
      </c>
      <c r="F48" s="24">
        <f>IF($C48="","",IF($C48&lt;DATE(2024,10,11),3,1))</f>
        <v/>
      </c>
      <c r="G48" s="28">
        <f>IF($C48="","",E48/F48)</f>
        <v/>
      </c>
      <c r="H48" s="29">
        <f>IF(OR($C48="",G47=""),"",G48/G47-1)</f>
        <v/>
      </c>
      <c r="I48" s="29">
        <f>IF(OR($C48="",G44=""),"",G48/G44-1)</f>
        <v/>
      </c>
      <c r="J48" s="28">
        <f>IF($C48="","",SUM(G45:G48))</f>
        <v/>
      </c>
      <c r="K48" s="30" t="n">
        <v>24.16</v>
      </c>
      <c r="L48" s="29">
        <f>IF(OR(J48="",K48=""),"",J48/K48)</f>
        <v/>
      </c>
      <c r="M48" s="31" t="n">
        <v>1340.5</v>
      </c>
      <c r="N48" s="32">
        <f>IF(OR(G48="",M48=""),"",G48*M48)</f>
        <v/>
      </c>
      <c r="O48" s="32">
        <f>IF(N48="","",N48*(1-사용법!$C$6))</f>
        <v/>
      </c>
      <c r="P48" s="33" t="inlineStr">
        <is>
          <t>Schwab 공식</t>
        </is>
      </c>
    </row>
    <row r="49">
      <c r="A49" s="24">
        <f>IF($C49="","",YEAR($C49))</f>
        <v/>
      </c>
      <c r="B49" s="25">
        <f>IF($C49="","",ROUNDUP(MONTH($C49)/3,0))</f>
        <v/>
      </c>
      <c r="C49" s="26" t="n">
        <v>45266</v>
      </c>
      <c r="D49" s="26" t="n">
        <v>45271</v>
      </c>
      <c r="E49" s="27" t="n">
        <v>0.7423</v>
      </c>
      <c r="F49" s="24">
        <f>IF($C49="","",IF($C49&lt;DATE(2024,10,11),3,1))</f>
        <v/>
      </c>
      <c r="G49" s="28">
        <f>IF($C49="","",E49/F49)</f>
        <v/>
      </c>
      <c r="H49" s="29">
        <f>IF(OR($C49="",G48=""),"",G49/G48-1)</f>
        <v/>
      </c>
      <c r="I49" s="29">
        <f>IF(OR($C49="",G45=""),"",G49/G45-1)</f>
        <v/>
      </c>
      <c r="J49" s="28">
        <f>IF($C49="","",SUM(G46:G49))</f>
        <v/>
      </c>
      <c r="K49" s="30" t="n">
        <v>24.0433</v>
      </c>
      <c r="L49" s="29">
        <f>IF(OR(J49="",K49=""),"",J49/K49)</f>
        <v/>
      </c>
      <c r="M49" s="31" t="n">
        <v>1316.5</v>
      </c>
      <c r="N49" s="32">
        <f>IF(OR(G49="",M49=""),"",G49*M49)</f>
        <v/>
      </c>
      <c r="O49" s="32">
        <f>IF(N49="","",N49*(1-사용법!$C$6))</f>
        <v/>
      </c>
      <c r="P49" s="33" t="inlineStr">
        <is>
          <t>Schwab 공식</t>
        </is>
      </c>
    </row>
    <row r="50">
      <c r="A50" s="24">
        <f>IF($C50="","",YEAR($C50))</f>
        <v/>
      </c>
      <c r="B50" s="25">
        <f>IF($C50="","",ROUNDUP(MONTH($C50)/3,0))</f>
        <v/>
      </c>
      <c r="C50" s="26" t="n">
        <v>45371</v>
      </c>
      <c r="D50" s="26" t="n">
        <v>45376</v>
      </c>
      <c r="E50" s="27" t="n">
        <v>0.611</v>
      </c>
      <c r="F50" s="24">
        <f>IF($C50="","",IF($C50&lt;DATE(2024,10,11),3,1))</f>
        <v/>
      </c>
      <c r="G50" s="28">
        <f>IF($C50="","",E50/F50)</f>
        <v/>
      </c>
      <c r="H50" s="29">
        <f>IF(OR($C50="",G49=""),"",G50/G49-1)</f>
        <v/>
      </c>
      <c r="I50" s="29">
        <f>IF(OR($C50="",G46=""),"",G50/G46-1)</f>
        <v/>
      </c>
      <c r="J50" s="28">
        <f>IF($C50="","",SUM(G47:G50))</f>
        <v/>
      </c>
      <c r="K50" s="30" t="n">
        <v>26.4133</v>
      </c>
      <c r="L50" s="29">
        <f>IF(OR(J50="",K50=""),"",J50/K50)</f>
        <v/>
      </c>
      <c r="M50" s="31" t="n">
        <v>1342</v>
      </c>
      <c r="N50" s="32">
        <f>IF(OR(G50="",M50=""),"",G50*M50)</f>
        <v/>
      </c>
      <c r="O50" s="32">
        <f>IF(N50="","",N50*(1-사용법!$C$6))</f>
        <v/>
      </c>
      <c r="P50" s="33" t="inlineStr">
        <is>
          <t>Schwab 공식</t>
        </is>
      </c>
    </row>
    <row r="51">
      <c r="A51" s="24">
        <f>IF($C51="","",YEAR($C51))</f>
        <v/>
      </c>
      <c r="B51" s="25">
        <f>IF($C51="","",ROUNDUP(MONTH($C51)/3,0))</f>
        <v/>
      </c>
      <c r="C51" s="26" t="n">
        <v>45469</v>
      </c>
      <c r="D51" s="26" t="n">
        <v>45474</v>
      </c>
      <c r="E51" s="27" t="n">
        <v>0.8241000000000001</v>
      </c>
      <c r="F51" s="24">
        <f>IF($C51="","",IF($C51&lt;DATE(2024,10,11),3,1))</f>
        <v/>
      </c>
      <c r="G51" s="28">
        <f>IF($C51="","",E51/F51)</f>
        <v/>
      </c>
      <c r="H51" s="29">
        <f>IF(OR($C51="",G50=""),"",G51/G50-1)</f>
        <v/>
      </c>
      <c r="I51" s="29">
        <f>IF(OR($C51="",G47=""),"",G51/G47-1)</f>
        <v/>
      </c>
      <c r="J51" s="28">
        <f>IF($C51="","",SUM(G48:G51))</f>
        <v/>
      </c>
      <c r="K51" s="30" t="n">
        <v>25.81</v>
      </c>
      <c r="L51" s="29">
        <f>IF(OR(J51="",K51=""),"",J51/K51)</f>
        <v/>
      </c>
      <c r="M51" s="31" t="n">
        <v>1384.5</v>
      </c>
      <c r="N51" s="32">
        <f>IF(OR(G51="",M51=""),"",G51*M51)</f>
        <v/>
      </c>
      <c r="O51" s="32">
        <f>IF(N51="","",N51*(1-사용법!$C$6))</f>
        <v/>
      </c>
      <c r="P51" s="33" t="inlineStr">
        <is>
          <t>Schwab 공식</t>
        </is>
      </c>
    </row>
    <row r="52">
      <c r="A52" s="24">
        <f>IF($C52="","",YEAR($C52))</f>
        <v/>
      </c>
      <c r="B52" s="25">
        <f>IF($C52="","",ROUNDUP(MONTH($C52)/3,0))</f>
        <v/>
      </c>
      <c r="C52" s="26" t="n">
        <v>45560</v>
      </c>
      <c r="D52" s="26" t="n">
        <v>45565</v>
      </c>
      <c r="E52" s="27" t="n">
        <v>0.7544999999999999</v>
      </c>
      <c r="F52" s="24">
        <f>IF($C52="","",IF($C52&lt;DATE(2024,10,11),3,1))</f>
        <v/>
      </c>
      <c r="G52" s="28">
        <f>IF($C52="","",E52/F52)</f>
        <v/>
      </c>
      <c r="H52" s="29">
        <f>IF(OR($C52="",G51=""),"",G52/G51-1)</f>
        <v/>
      </c>
      <c r="I52" s="29">
        <f>IF(OR($C52="",G48=""),"",G52/G48-1)</f>
        <v/>
      </c>
      <c r="J52" s="28">
        <f>IF($C52="","",SUM(G49:G52))</f>
        <v/>
      </c>
      <c r="K52" s="30" t="n">
        <v>27.79</v>
      </c>
      <c r="L52" s="29">
        <f>IF(OR(J52="",K52=""),"",J52/K52)</f>
        <v/>
      </c>
      <c r="M52" s="31" t="n">
        <v>1325.5</v>
      </c>
      <c r="N52" s="32">
        <f>IF(OR(G52="",M52=""),"",G52*M52)</f>
        <v/>
      </c>
      <c r="O52" s="32">
        <f>IF(N52="","",N52*(1-사용법!$C$6))</f>
        <v/>
      </c>
      <c r="P52" s="33" t="inlineStr">
        <is>
          <t>Schwab 공식</t>
        </is>
      </c>
    </row>
    <row r="53">
      <c r="A53" s="24">
        <f>IF($C53="","",YEAR($C53))</f>
        <v/>
      </c>
      <c r="B53" s="25">
        <f>IF($C53="","",ROUNDUP(MONTH($C53)/3,0))</f>
        <v/>
      </c>
      <c r="C53" s="26" t="n">
        <v>45637</v>
      </c>
      <c r="D53" s="26" t="n">
        <v>45642</v>
      </c>
      <c r="E53" s="27" t="n">
        <v>0.2645</v>
      </c>
      <c r="F53" s="24">
        <f>IF($C53="","",IF($C53&lt;DATE(2024,10,11),3,1))</f>
        <v/>
      </c>
      <c r="G53" s="28">
        <f>IF($C53="","",E53/F53)</f>
        <v/>
      </c>
      <c r="H53" s="29">
        <f>IF(OR($C53="",G52=""),"",G53/G52-1)</f>
        <v/>
      </c>
      <c r="I53" s="29">
        <f>IF(OR($C53="",G49=""),"",G53/G49-1)</f>
        <v/>
      </c>
      <c r="J53" s="28">
        <f>IF($C53="","",SUM(G50:G53))</f>
        <v/>
      </c>
      <c r="K53" s="30" t="n">
        <v>28.25</v>
      </c>
      <c r="L53" s="29">
        <f>IF(OR(J53="",K53=""),"",J53/K53)</f>
        <v/>
      </c>
      <c r="M53" s="31" t="n">
        <v>1438.5</v>
      </c>
      <c r="N53" s="32">
        <f>IF(OR(G53="",M53=""),"",G53*M53)</f>
        <v/>
      </c>
      <c r="O53" s="32">
        <f>IF(N53="","",N53*(1-사용법!$C$6))</f>
        <v/>
      </c>
      <c r="P53" s="33" t="inlineStr">
        <is>
          <t>Schwab 공식</t>
        </is>
      </c>
    </row>
    <row r="54">
      <c r="A54" s="24">
        <f>IF($C54="","",YEAR($C54))</f>
        <v/>
      </c>
      <c r="B54" s="25">
        <f>IF($C54="","",ROUNDUP(MONTH($C54)/3,0))</f>
        <v/>
      </c>
      <c r="C54" s="26" t="n">
        <v>45742</v>
      </c>
      <c r="D54" s="26" t="n">
        <v>45747</v>
      </c>
      <c r="E54" s="27" t="n">
        <v>0.2488</v>
      </c>
      <c r="F54" s="24">
        <f>IF($C54="","",IF($C54&lt;DATE(2024,10,11),3,1))</f>
        <v/>
      </c>
      <c r="G54" s="28">
        <f>IF($C54="","",E54/F54)</f>
        <v/>
      </c>
      <c r="H54" s="29">
        <f>IF(OR($C54="",G53=""),"",G54/G53-1)</f>
        <v/>
      </c>
      <c r="I54" s="29">
        <f>IF(OR($C54="",G50=""),"",G54/G50-1)</f>
        <v/>
      </c>
      <c r="J54" s="28">
        <f>IF($C54="","",SUM(G51:G54))</f>
        <v/>
      </c>
      <c r="K54" s="30" t="n">
        <v>27.8</v>
      </c>
      <c r="L54" s="29">
        <f>IF(OR(J54="",K54=""),"",J54/K54)</f>
        <v/>
      </c>
      <c r="M54" s="31" t="n">
        <v>1474</v>
      </c>
      <c r="N54" s="32">
        <f>IF(OR(G54="",M54=""),"",G54*M54)</f>
        <v/>
      </c>
      <c r="O54" s="32">
        <f>IF(N54="","",N54*(1-사용법!$C$6))</f>
        <v/>
      </c>
      <c r="P54" s="33" t="inlineStr">
        <is>
          <t>Schwab 공식</t>
        </is>
      </c>
    </row>
    <row r="55">
      <c r="A55" s="24">
        <f>IF($C55="","",YEAR($C55))</f>
        <v/>
      </c>
      <c r="B55" s="25">
        <f>IF($C55="","",ROUNDUP(MONTH($C55)/3,0))</f>
        <v/>
      </c>
      <c r="C55" s="26" t="n">
        <v>45833</v>
      </c>
      <c r="D55" s="26" t="n">
        <v>45838</v>
      </c>
      <c r="E55" s="27" t="n">
        <v>0.2602</v>
      </c>
      <c r="F55" s="24">
        <f>IF($C55="","",IF($C55&lt;DATE(2024,10,11),3,1))</f>
        <v/>
      </c>
      <c r="G55" s="28">
        <f>IF($C55="","",E55/F55)</f>
        <v/>
      </c>
      <c r="H55" s="29">
        <f>IF(OR($C55="",G54=""),"",G55/G54-1)</f>
        <v/>
      </c>
      <c r="I55" s="29">
        <f>IF(OR($C55="",G51=""),"",G55/G51-1)</f>
        <v/>
      </c>
      <c r="J55" s="28">
        <f>IF($C55="","",SUM(G52:G55))</f>
        <v/>
      </c>
      <c r="K55" s="30" t="n">
        <v>26.2</v>
      </c>
      <c r="L55" s="29">
        <f>IF(OR(J55="",K55=""),"",J55/K55)</f>
        <v/>
      </c>
      <c r="M55" s="31" t="n">
        <v>1354</v>
      </c>
      <c r="N55" s="32">
        <f>IF(OR(G55="",M55=""),"",G55*M55)</f>
        <v/>
      </c>
      <c r="O55" s="32">
        <f>IF(N55="","",N55*(1-사용법!$C$6))</f>
        <v/>
      </c>
      <c r="P55" s="33" t="inlineStr">
        <is>
          <t>Schwab 공식</t>
        </is>
      </c>
    </row>
    <row r="56">
      <c r="A56" s="24">
        <f>IF($C56="","",YEAR($C56))</f>
        <v/>
      </c>
      <c r="B56" s="25">
        <f>IF($C56="","",ROUNDUP(MONTH($C56)/3,0))</f>
        <v/>
      </c>
      <c r="C56" s="26" t="n">
        <v>45924</v>
      </c>
      <c r="D56" s="26" t="n">
        <v>45929</v>
      </c>
      <c r="E56" s="27" t="n">
        <v>0.2604</v>
      </c>
      <c r="F56" s="24">
        <f>IF($C56="","",IF($C56&lt;DATE(2024,10,11),3,1))</f>
        <v/>
      </c>
      <c r="G56" s="28">
        <f>IF($C56="","",E56/F56)</f>
        <v/>
      </c>
      <c r="H56" s="29">
        <f>IF(OR($C56="",G55=""),"",G56/G55-1)</f>
        <v/>
      </c>
      <c r="I56" s="29">
        <f>IF(OR($C56="",G52=""),"",G56/G52-1)</f>
        <v/>
      </c>
      <c r="J56" s="28">
        <f>IF($C56="","",SUM(G53:G56))</f>
        <v/>
      </c>
      <c r="K56" s="30" t="n">
        <v>27.16</v>
      </c>
      <c r="L56" s="29">
        <f>IF(OR(J56="",K56=""),"",J56/K56)</f>
        <v/>
      </c>
      <c r="M56" s="31" t="n">
        <v>1400.5</v>
      </c>
      <c r="N56" s="32">
        <f>IF(OR(G56="",M56=""),"",G56*M56)</f>
        <v/>
      </c>
      <c r="O56" s="32">
        <f>IF(N56="","",N56*(1-사용법!$C$6))</f>
        <v/>
      </c>
      <c r="P56" s="33" t="inlineStr">
        <is>
          <t>Schwab 공식</t>
        </is>
      </c>
    </row>
    <row r="57">
      <c r="A57" s="24">
        <f>IF($C57="","",YEAR($C57))</f>
        <v/>
      </c>
      <c r="B57" s="25">
        <f>IF($C57="","",ROUNDUP(MONTH($C57)/3,0))</f>
        <v/>
      </c>
      <c r="C57" s="26" t="n">
        <v>46001</v>
      </c>
      <c r="D57" s="26" t="n">
        <v>46006</v>
      </c>
      <c r="E57" s="27" t="n">
        <v>0.2782</v>
      </c>
      <c r="F57" s="24">
        <f>IF($C57="","",IF($C57&lt;DATE(2024,10,11),3,1))</f>
        <v/>
      </c>
      <c r="G57" s="28">
        <f>IF($C57="","",E57/F57)</f>
        <v/>
      </c>
      <c r="H57" s="29">
        <f>IF(OR($C57="",G56=""),"",G57/G56-1)</f>
        <v/>
      </c>
      <c r="I57" s="29">
        <f>IF(OR($C57="",G53=""),"",G57/G53-1)</f>
        <v/>
      </c>
      <c r="J57" s="28">
        <f>IF($C57="","",SUM(G54:G57))</f>
        <v/>
      </c>
      <c r="K57" s="30" t="n">
        <v>27.57</v>
      </c>
      <c r="L57" s="29">
        <f>IF(OR(J57="",K57=""),"",J57/K57)</f>
        <v/>
      </c>
      <c r="M57" s="31" t="n">
        <v>1470.8</v>
      </c>
      <c r="N57" s="32">
        <f>IF(OR(G57="",M57=""),"",G57*M57)</f>
        <v/>
      </c>
      <c r="O57" s="32">
        <f>IF(N57="","",N57*(1-사용법!$C$6))</f>
        <v/>
      </c>
      <c r="P57" s="33" t="inlineStr">
        <is>
          <t>Schwab 공식</t>
        </is>
      </c>
    </row>
    <row r="58">
      <c r="A58" s="24">
        <f>IF($C58="","",YEAR($C58))</f>
        <v/>
      </c>
      <c r="B58" s="25">
        <f>IF($C58="","",ROUNDUP(MONTH($C58)/3,0))</f>
        <v/>
      </c>
      <c r="C58" s="26" t="n">
        <v>46106</v>
      </c>
      <c r="D58" s="26" t="n">
        <v>46111</v>
      </c>
      <c r="E58" s="27" t="n">
        <v>0.2569</v>
      </c>
      <c r="F58" s="24">
        <f>IF($C58="","",IF($C58&lt;DATE(2024,10,11),3,1))</f>
        <v/>
      </c>
      <c r="G58" s="28">
        <f>IF($C58="","",E58/F58)</f>
        <v/>
      </c>
      <c r="H58" s="29">
        <f>IF(OR($C58="",G57=""),"",G58/G57-1)</f>
        <v/>
      </c>
      <c r="I58" s="29">
        <f>IF(OR($C58="",G54=""),"",G58/G54-1)</f>
        <v/>
      </c>
      <c r="J58" s="28">
        <f>IF($C58="","",SUM(G55:G58))</f>
        <v/>
      </c>
      <c r="K58" s="30" t="n">
        <v>30.54</v>
      </c>
      <c r="L58" s="29">
        <f>IF(OR(J58="",K58=""),"",J58/K58)</f>
        <v/>
      </c>
      <c r="M58" s="31" t="n">
        <v>1517.5</v>
      </c>
      <c r="N58" s="32">
        <f>IF(OR(G58="",M58=""),"",G58*M58)</f>
        <v/>
      </c>
      <c r="O58" s="32">
        <f>IF(N58="","",N58*(1-사용법!$C$6))</f>
        <v/>
      </c>
      <c r="P58" s="33" t="inlineStr">
        <is>
          <t>Schwab 공식</t>
        </is>
      </c>
    </row>
    <row r="59">
      <c r="A59" s="24">
        <f>IF($C59="","",YEAR($C59))</f>
        <v/>
      </c>
      <c r="B59" s="25">
        <f>IF($C59="","",ROUNDUP(MONTH($C59)/3,0))</f>
        <v/>
      </c>
      <c r="C59" s="26" t="n">
        <v>46197</v>
      </c>
      <c r="D59" s="26" t="n">
        <v>46202</v>
      </c>
      <c r="E59" s="27" t="n">
        <v>0.2525</v>
      </c>
      <c r="F59" s="24">
        <f>IF($C59="","",IF($C59&lt;DATE(2024,10,11),3,1))</f>
        <v/>
      </c>
      <c r="G59" s="28">
        <f>IF($C59="","",E59/F59)</f>
        <v/>
      </c>
      <c r="H59" s="29">
        <f>IF(OR($C59="",G58=""),"",G59/G58-1)</f>
        <v/>
      </c>
      <c r="I59" s="29">
        <f>IF(OR($C59="",G55=""),"",G59/G55-1)</f>
        <v/>
      </c>
      <c r="J59" s="28">
        <f>IF($C59="","",SUM(G56:G59))</f>
        <v/>
      </c>
      <c r="K59" s="30" t="n">
        <v>31.72</v>
      </c>
      <c r="L59" s="29">
        <f>IF(OR(J59="",K59=""),"",J59/K59)</f>
        <v/>
      </c>
      <c r="M59" s="31" t="n">
        <v>1541.5</v>
      </c>
      <c r="N59" s="32">
        <f>IF(OR(G59="",M59=""),"",G59*M59)</f>
        <v/>
      </c>
      <c r="O59" s="32">
        <f>IF(N59="","",N59*(1-사용법!$C$6))</f>
        <v/>
      </c>
      <c r="P59" s="33" t="inlineStr">
        <is>
          <t>Schwab 공식</t>
        </is>
      </c>
    </row>
    <row r="60">
      <c r="A60" s="24">
        <f>IF($C60="","",YEAR($C60))</f>
        <v/>
      </c>
      <c r="B60" s="25">
        <f>IF($C60="","",ROUNDUP(MONTH($C60)/3,0))</f>
        <v/>
      </c>
      <c r="C60" s="26" t="n">
        <v>46288</v>
      </c>
      <c r="D60" s="26" t="n">
        <v>46293</v>
      </c>
      <c r="E60" s="27" t="n">
        <v>0.2665</v>
      </c>
      <c r="F60" s="24">
        <f>IF($C60="","",IF($C60&lt;DATE(2024,10,11),3,1))</f>
        <v/>
      </c>
      <c r="G60" s="28">
        <f>IF($C60="","",E60/F60)</f>
        <v/>
      </c>
      <c r="H60" s="29">
        <f>IF(OR($C60="",G59=""),"",G60/G59-1)</f>
        <v/>
      </c>
      <c r="I60" s="29">
        <f>IF(OR($C60="",G56=""),"",G60/G56-1)</f>
        <v/>
      </c>
      <c r="J60" s="28">
        <f>IF($C60="","",SUM(G57:G60))</f>
        <v/>
      </c>
      <c r="K60" s="30" t="n">
        <v>33.28</v>
      </c>
      <c r="L60" s="29">
        <f>IF(OR(J60="",K60=""),"",J60/K60)</f>
        <v/>
      </c>
      <c r="M60" s="31" t="n">
        <v>1360</v>
      </c>
      <c r="N60" s="32">
        <f>IF(OR(G60="",M60=""),"",G60*M60)</f>
        <v/>
      </c>
      <c r="O60" s="32">
        <f>IF(N60="","",N60*(1-사용법!$C$6))</f>
        <v/>
      </c>
      <c r="P60" s="33" t="inlineStr">
        <is>
          <t>Schwab 공식</t>
        </is>
      </c>
    </row>
    <row r="61">
      <c r="A61" s="24">
        <f>IF($C61="","",YEAR($C61))</f>
        <v/>
      </c>
      <c r="B61" s="25">
        <f>IF($C61="","",ROUNDUP(MONTH($C61)/3,0))</f>
        <v/>
      </c>
      <c r="C61" s="26" t="n"/>
      <c r="D61" s="26" t="n"/>
      <c r="E61" s="27" t="n"/>
      <c r="F61" s="24">
        <f>IF($C61="","",IF($C61&lt;DATE(2024,10,11),3,1))</f>
        <v/>
      </c>
      <c r="G61" s="28">
        <f>IF($C61="","",E61/F61)</f>
        <v/>
      </c>
      <c r="H61" s="29">
        <f>IF(OR($C61="",G60=""),"",G61/G60-1)</f>
        <v/>
      </c>
      <c r="I61" s="29">
        <f>IF(OR($C61="",G57=""),"",G61/G57-1)</f>
        <v/>
      </c>
      <c r="J61" s="28">
        <f>IF($C61="","",SUM(G58:G61))</f>
        <v/>
      </c>
      <c r="K61" s="30" t="n"/>
      <c r="L61" s="29">
        <f>IF(OR(J61="",K61=""),"",J61/K61)</f>
        <v/>
      </c>
      <c r="M61" s="31" t="n"/>
      <c r="N61" s="32">
        <f>IF(OR(G61="",M61=""),"",G61*M61)</f>
        <v/>
      </c>
      <c r="O61" s="32">
        <f>IF(N61="","",N61*(1-사용법!$C$6))</f>
        <v/>
      </c>
      <c r="P61" s="33" t="n"/>
    </row>
    <row r="62">
      <c r="A62" s="24">
        <f>IF($C62="","",YEAR($C62))</f>
        <v/>
      </c>
      <c r="B62" s="25">
        <f>IF($C62="","",ROUNDUP(MONTH($C62)/3,0))</f>
        <v/>
      </c>
      <c r="C62" s="26" t="n"/>
      <c r="D62" s="26" t="n"/>
      <c r="E62" s="27" t="n"/>
      <c r="F62" s="24">
        <f>IF($C62="","",IF($C62&lt;DATE(2024,10,11),3,1))</f>
        <v/>
      </c>
      <c r="G62" s="28">
        <f>IF($C62="","",E62/F62)</f>
        <v/>
      </c>
      <c r="H62" s="29">
        <f>IF(OR($C62="",G61=""),"",G62/G61-1)</f>
        <v/>
      </c>
      <c r="I62" s="29">
        <f>IF(OR($C62="",G58=""),"",G62/G58-1)</f>
        <v/>
      </c>
      <c r="J62" s="28">
        <f>IF($C62="","",SUM(G59:G62))</f>
        <v/>
      </c>
      <c r="K62" s="30" t="n"/>
      <c r="L62" s="29">
        <f>IF(OR(J62="",K62=""),"",J62/K62)</f>
        <v/>
      </c>
      <c r="M62" s="31" t="n"/>
      <c r="N62" s="32">
        <f>IF(OR(G62="",M62=""),"",G62*M62)</f>
        <v/>
      </c>
      <c r="O62" s="32">
        <f>IF(N62="","",N62*(1-사용법!$C$6))</f>
        <v/>
      </c>
      <c r="P62" s="33" t="n"/>
    </row>
    <row r="63">
      <c r="A63" s="24">
        <f>IF($C63="","",YEAR($C63))</f>
        <v/>
      </c>
      <c r="B63" s="25">
        <f>IF($C63="","",ROUNDUP(MONTH($C63)/3,0))</f>
        <v/>
      </c>
      <c r="C63" s="26" t="n"/>
      <c r="D63" s="26" t="n"/>
      <c r="E63" s="27" t="n"/>
      <c r="F63" s="24">
        <f>IF($C63="","",IF($C63&lt;DATE(2024,10,11),3,1))</f>
        <v/>
      </c>
      <c r="G63" s="28">
        <f>IF($C63="","",E63/F63)</f>
        <v/>
      </c>
      <c r="H63" s="29">
        <f>IF(OR($C63="",G62=""),"",G63/G62-1)</f>
        <v/>
      </c>
      <c r="I63" s="29">
        <f>IF(OR($C63="",G59=""),"",G63/G59-1)</f>
        <v/>
      </c>
      <c r="J63" s="28">
        <f>IF($C63="","",SUM(G60:G63))</f>
        <v/>
      </c>
      <c r="K63" s="30" t="n"/>
      <c r="L63" s="29">
        <f>IF(OR(J63="",K63=""),"",J63/K63)</f>
        <v/>
      </c>
      <c r="M63" s="31" t="n"/>
      <c r="N63" s="32">
        <f>IF(OR(G63="",M63=""),"",G63*M63)</f>
        <v/>
      </c>
      <c r="O63" s="32">
        <f>IF(N63="","",N63*(1-사용법!$C$6))</f>
        <v/>
      </c>
      <c r="P63" s="33" t="n"/>
    </row>
    <row r="64">
      <c r="A64" s="24">
        <f>IF($C64="","",YEAR($C64))</f>
        <v/>
      </c>
      <c r="B64" s="25">
        <f>IF($C64="","",ROUNDUP(MONTH($C64)/3,0))</f>
        <v/>
      </c>
      <c r="C64" s="26" t="n"/>
      <c r="D64" s="26" t="n"/>
      <c r="E64" s="27" t="n"/>
      <c r="F64" s="24">
        <f>IF($C64="","",IF($C64&lt;DATE(2024,10,11),3,1))</f>
        <v/>
      </c>
      <c r="G64" s="28">
        <f>IF($C64="","",E64/F64)</f>
        <v/>
      </c>
      <c r="H64" s="29">
        <f>IF(OR($C64="",G63=""),"",G64/G63-1)</f>
        <v/>
      </c>
      <c r="I64" s="29">
        <f>IF(OR($C64="",G60=""),"",G64/G60-1)</f>
        <v/>
      </c>
      <c r="J64" s="28">
        <f>IF($C64="","",SUM(G61:G64))</f>
        <v/>
      </c>
      <c r="K64" s="30" t="n"/>
      <c r="L64" s="29">
        <f>IF(OR(J64="",K64=""),"",J64/K64)</f>
        <v/>
      </c>
      <c r="M64" s="31" t="n"/>
      <c r="N64" s="32">
        <f>IF(OR(G64="",M64=""),"",G64*M64)</f>
        <v/>
      </c>
      <c r="O64" s="32">
        <f>IF(N64="","",N64*(1-사용법!$C$6))</f>
        <v/>
      </c>
      <c r="P64" s="33" t="n"/>
    </row>
    <row r="65">
      <c r="A65" s="24">
        <f>IF($C65="","",YEAR($C65))</f>
        <v/>
      </c>
      <c r="B65" s="25">
        <f>IF($C65="","",ROUNDUP(MONTH($C65)/3,0))</f>
        <v/>
      </c>
      <c r="C65" s="26" t="n"/>
      <c r="D65" s="26" t="n"/>
      <c r="E65" s="27" t="n"/>
      <c r="F65" s="24">
        <f>IF($C65="","",IF($C65&lt;DATE(2024,10,11),3,1))</f>
        <v/>
      </c>
      <c r="G65" s="28">
        <f>IF($C65="","",E65/F65)</f>
        <v/>
      </c>
      <c r="H65" s="29">
        <f>IF(OR($C65="",G64=""),"",G65/G64-1)</f>
        <v/>
      </c>
      <c r="I65" s="29">
        <f>IF(OR($C65="",G61=""),"",G65/G61-1)</f>
        <v/>
      </c>
      <c r="J65" s="28">
        <f>IF($C65="","",SUM(G62:G65))</f>
        <v/>
      </c>
      <c r="K65" s="30" t="n"/>
      <c r="L65" s="29">
        <f>IF(OR(J65="",K65=""),"",J65/K65)</f>
        <v/>
      </c>
      <c r="M65" s="31" t="n"/>
      <c r="N65" s="32">
        <f>IF(OR(G65="",M65=""),"",G65*M65)</f>
        <v/>
      </c>
      <c r="O65" s="32">
        <f>IF(N65="","",N65*(1-사용법!$C$6))</f>
        <v/>
      </c>
      <c r="P65" s="33" t="n"/>
    </row>
    <row r="66">
      <c r="A66" s="24">
        <f>IF($C66="","",YEAR($C66))</f>
        <v/>
      </c>
      <c r="B66" s="25">
        <f>IF($C66="","",ROUNDUP(MONTH($C66)/3,0))</f>
        <v/>
      </c>
      <c r="C66" s="26" t="n"/>
      <c r="D66" s="26" t="n"/>
      <c r="E66" s="27" t="n"/>
      <c r="F66" s="24">
        <f>IF($C66="","",IF($C66&lt;DATE(2024,10,11),3,1))</f>
        <v/>
      </c>
      <c r="G66" s="28">
        <f>IF($C66="","",E66/F66)</f>
        <v/>
      </c>
      <c r="H66" s="29">
        <f>IF(OR($C66="",G65=""),"",G66/G65-1)</f>
        <v/>
      </c>
      <c r="I66" s="29">
        <f>IF(OR($C66="",G62=""),"",G66/G62-1)</f>
        <v/>
      </c>
      <c r="J66" s="28">
        <f>IF($C66="","",SUM(G63:G66))</f>
        <v/>
      </c>
      <c r="K66" s="30" t="n"/>
      <c r="L66" s="29">
        <f>IF(OR(J66="",K66=""),"",J66/K66)</f>
        <v/>
      </c>
      <c r="M66" s="31" t="n"/>
      <c r="N66" s="32">
        <f>IF(OR(G66="",M66=""),"",G66*M66)</f>
        <v/>
      </c>
      <c r="O66" s="32">
        <f>IF(N66="","",N66*(1-사용법!$C$6))</f>
        <v/>
      </c>
      <c r="P66" s="33" t="n"/>
    </row>
    <row r="67">
      <c r="A67" s="24">
        <f>IF($C67="","",YEAR($C67))</f>
        <v/>
      </c>
      <c r="B67" s="25">
        <f>IF($C67="","",ROUNDUP(MONTH($C67)/3,0))</f>
        <v/>
      </c>
      <c r="C67" s="26" t="n"/>
      <c r="D67" s="26" t="n"/>
      <c r="E67" s="27" t="n"/>
      <c r="F67" s="24">
        <f>IF($C67="","",IF($C67&lt;DATE(2024,10,11),3,1))</f>
        <v/>
      </c>
      <c r="G67" s="28">
        <f>IF($C67="","",E67/F67)</f>
        <v/>
      </c>
      <c r="H67" s="29">
        <f>IF(OR($C67="",G66=""),"",G67/G66-1)</f>
        <v/>
      </c>
      <c r="I67" s="29">
        <f>IF(OR($C67="",G63=""),"",G67/G63-1)</f>
        <v/>
      </c>
      <c r="J67" s="28">
        <f>IF($C67="","",SUM(G64:G67))</f>
        <v/>
      </c>
      <c r="K67" s="30" t="n"/>
      <c r="L67" s="29">
        <f>IF(OR(J67="",K67=""),"",J67/K67)</f>
        <v/>
      </c>
      <c r="M67" s="31" t="n"/>
      <c r="N67" s="32">
        <f>IF(OR(G67="",M67=""),"",G67*M67)</f>
        <v/>
      </c>
      <c r="O67" s="32">
        <f>IF(N67="","",N67*(1-사용법!$C$6))</f>
        <v/>
      </c>
      <c r="P67" s="33" t="n"/>
    </row>
    <row r="68">
      <c r="A68" s="24">
        <f>IF($C68="","",YEAR($C68))</f>
        <v/>
      </c>
      <c r="B68" s="25">
        <f>IF($C68="","",ROUNDUP(MONTH($C68)/3,0))</f>
        <v/>
      </c>
      <c r="C68" s="26" t="n"/>
      <c r="D68" s="26" t="n"/>
      <c r="E68" s="27" t="n"/>
      <c r="F68" s="24">
        <f>IF($C68="","",IF($C68&lt;DATE(2024,10,11),3,1))</f>
        <v/>
      </c>
      <c r="G68" s="28">
        <f>IF($C68="","",E68/F68)</f>
        <v/>
      </c>
      <c r="H68" s="29">
        <f>IF(OR($C68="",G67=""),"",G68/G67-1)</f>
        <v/>
      </c>
      <c r="I68" s="29">
        <f>IF(OR($C68="",G64=""),"",G68/G64-1)</f>
        <v/>
      </c>
      <c r="J68" s="28">
        <f>IF($C68="","",SUM(G65:G68))</f>
        <v/>
      </c>
      <c r="K68" s="30" t="n"/>
      <c r="L68" s="29">
        <f>IF(OR(J68="",K68=""),"",J68/K68)</f>
        <v/>
      </c>
      <c r="M68" s="31" t="n"/>
      <c r="N68" s="32">
        <f>IF(OR(G68="",M68=""),"",G68*M68)</f>
        <v/>
      </c>
      <c r="O68" s="32">
        <f>IF(N68="","",N68*(1-사용법!$C$6))</f>
        <v/>
      </c>
      <c r="P68" s="33" t="n"/>
    </row>
    <row r="69">
      <c r="A69" s="24">
        <f>IF($C69="","",YEAR($C69))</f>
        <v/>
      </c>
      <c r="B69" s="25">
        <f>IF($C69="","",ROUNDUP(MONTH($C69)/3,0))</f>
        <v/>
      </c>
      <c r="C69" s="26" t="n"/>
      <c r="D69" s="26" t="n"/>
      <c r="E69" s="27" t="n"/>
      <c r="F69" s="24">
        <f>IF($C69="","",IF($C69&lt;DATE(2024,10,11),3,1))</f>
        <v/>
      </c>
      <c r="G69" s="28">
        <f>IF($C69="","",E69/F69)</f>
        <v/>
      </c>
      <c r="H69" s="29">
        <f>IF(OR($C69="",G68=""),"",G69/G68-1)</f>
        <v/>
      </c>
      <c r="I69" s="29">
        <f>IF(OR($C69="",G65=""),"",G69/G65-1)</f>
        <v/>
      </c>
      <c r="J69" s="28">
        <f>IF($C69="","",SUM(G66:G69))</f>
        <v/>
      </c>
      <c r="K69" s="30" t="n"/>
      <c r="L69" s="29">
        <f>IF(OR(J69="",K69=""),"",J69/K69)</f>
        <v/>
      </c>
      <c r="M69" s="31" t="n"/>
      <c r="N69" s="32">
        <f>IF(OR(G69="",M69=""),"",G69*M69)</f>
        <v/>
      </c>
      <c r="O69" s="32">
        <f>IF(N69="","",N69*(1-사용법!$C$6))</f>
        <v/>
      </c>
      <c r="P69" s="33" t="n"/>
    </row>
    <row r="70">
      <c r="A70" s="24">
        <f>IF($C70="","",YEAR($C70))</f>
        <v/>
      </c>
      <c r="B70" s="25">
        <f>IF($C70="","",ROUNDUP(MONTH($C70)/3,0))</f>
        <v/>
      </c>
      <c r="C70" s="26" t="n"/>
      <c r="D70" s="26" t="n"/>
      <c r="E70" s="27" t="n"/>
      <c r="F70" s="24">
        <f>IF($C70="","",IF($C70&lt;DATE(2024,10,11),3,1))</f>
        <v/>
      </c>
      <c r="G70" s="28">
        <f>IF($C70="","",E70/F70)</f>
        <v/>
      </c>
      <c r="H70" s="29">
        <f>IF(OR($C70="",G69=""),"",G70/G69-1)</f>
        <v/>
      </c>
      <c r="I70" s="29">
        <f>IF(OR($C70="",G66=""),"",G70/G66-1)</f>
        <v/>
      </c>
      <c r="J70" s="28">
        <f>IF($C70="","",SUM(G67:G70))</f>
        <v/>
      </c>
      <c r="K70" s="30" t="n"/>
      <c r="L70" s="29">
        <f>IF(OR(J70="",K70=""),"",J70/K70)</f>
        <v/>
      </c>
      <c r="M70" s="31" t="n"/>
      <c r="N70" s="32">
        <f>IF(OR(G70="",M70=""),"",G70*M70)</f>
        <v/>
      </c>
      <c r="O70" s="32">
        <f>IF(N70="","",N70*(1-사용법!$C$6))</f>
        <v/>
      </c>
      <c r="P70" s="33" t="n"/>
    </row>
    <row r="71">
      <c r="A71" s="24">
        <f>IF($C71="","",YEAR($C71))</f>
        <v/>
      </c>
      <c r="B71" s="25">
        <f>IF($C71="","",ROUNDUP(MONTH($C71)/3,0))</f>
        <v/>
      </c>
      <c r="C71" s="26" t="n"/>
      <c r="D71" s="26" t="n"/>
      <c r="E71" s="27" t="n"/>
      <c r="F71" s="24">
        <f>IF($C71="","",IF($C71&lt;DATE(2024,10,11),3,1))</f>
        <v/>
      </c>
      <c r="G71" s="28">
        <f>IF($C71="","",E71/F71)</f>
        <v/>
      </c>
      <c r="H71" s="29">
        <f>IF(OR($C71="",G70=""),"",G71/G70-1)</f>
        <v/>
      </c>
      <c r="I71" s="29">
        <f>IF(OR($C71="",G67=""),"",G71/G67-1)</f>
        <v/>
      </c>
      <c r="J71" s="28">
        <f>IF($C71="","",SUM(G68:G71))</f>
        <v/>
      </c>
      <c r="K71" s="30" t="n"/>
      <c r="L71" s="29">
        <f>IF(OR(J71="",K71=""),"",J71/K71)</f>
        <v/>
      </c>
      <c r="M71" s="31" t="n"/>
      <c r="N71" s="32">
        <f>IF(OR(G71="",M71=""),"",G71*M71)</f>
        <v/>
      </c>
      <c r="O71" s="32">
        <f>IF(N71="","",N71*(1-사용법!$C$6))</f>
        <v/>
      </c>
      <c r="P71" s="33" t="n"/>
    </row>
    <row r="72">
      <c r="A72" s="24">
        <f>IF($C72="","",YEAR($C72))</f>
        <v/>
      </c>
      <c r="B72" s="25">
        <f>IF($C72="","",ROUNDUP(MONTH($C72)/3,0))</f>
        <v/>
      </c>
      <c r="C72" s="26" t="n"/>
      <c r="D72" s="26" t="n"/>
      <c r="E72" s="27" t="n"/>
      <c r="F72" s="24">
        <f>IF($C72="","",IF($C72&lt;DATE(2024,10,11),3,1))</f>
        <v/>
      </c>
      <c r="G72" s="28">
        <f>IF($C72="","",E72/F72)</f>
        <v/>
      </c>
      <c r="H72" s="29">
        <f>IF(OR($C72="",G71=""),"",G72/G71-1)</f>
        <v/>
      </c>
      <c r="I72" s="29">
        <f>IF(OR($C72="",G68=""),"",G72/G68-1)</f>
        <v/>
      </c>
      <c r="J72" s="28">
        <f>IF($C72="","",SUM(G69:G72))</f>
        <v/>
      </c>
      <c r="K72" s="30" t="n"/>
      <c r="L72" s="29">
        <f>IF(OR(J72="",K72=""),"",J72/K72)</f>
        <v/>
      </c>
      <c r="M72" s="31" t="n"/>
      <c r="N72" s="32">
        <f>IF(OR(G72="",M72=""),"",G72*M72)</f>
        <v/>
      </c>
      <c r="O72" s="32">
        <f>IF(N72="","",N72*(1-사용법!$C$6))</f>
        <v/>
      </c>
      <c r="P72" s="33" t="n"/>
    </row>
    <row r="73">
      <c r="A73" s="24">
        <f>IF($C73="","",YEAR($C73))</f>
        <v/>
      </c>
      <c r="B73" s="25">
        <f>IF($C73="","",ROUNDUP(MONTH($C73)/3,0))</f>
        <v/>
      </c>
      <c r="C73" s="26" t="n"/>
      <c r="D73" s="26" t="n"/>
      <c r="E73" s="27" t="n"/>
      <c r="F73" s="24">
        <f>IF($C73="","",IF($C73&lt;DATE(2024,10,11),3,1))</f>
        <v/>
      </c>
      <c r="G73" s="28">
        <f>IF($C73="","",E73/F73)</f>
        <v/>
      </c>
      <c r="H73" s="29">
        <f>IF(OR($C73="",G72=""),"",G73/G72-1)</f>
        <v/>
      </c>
      <c r="I73" s="29">
        <f>IF(OR($C73="",G69=""),"",G73/G69-1)</f>
        <v/>
      </c>
      <c r="J73" s="28">
        <f>IF($C73="","",SUM(G70:G73))</f>
        <v/>
      </c>
      <c r="K73" s="30" t="n"/>
      <c r="L73" s="29">
        <f>IF(OR(J73="",K73=""),"",J73/K73)</f>
        <v/>
      </c>
      <c r="M73" s="31" t="n"/>
      <c r="N73" s="32">
        <f>IF(OR(G73="",M73=""),"",G73*M73)</f>
        <v/>
      </c>
      <c r="O73" s="32">
        <f>IF(N73="","",N73*(1-사용법!$C$6))</f>
        <v/>
      </c>
      <c r="P73" s="33" t="n"/>
    </row>
    <row r="74">
      <c r="A74" s="24">
        <f>IF($C74="","",YEAR($C74))</f>
        <v/>
      </c>
      <c r="B74" s="25">
        <f>IF($C74="","",ROUNDUP(MONTH($C74)/3,0))</f>
        <v/>
      </c>
      <c r="C74" s="26" t="n"/>
      <c r="D74" s="26" t="n"/>
      <c r="E74" s="27" t="n"/>
      <c r="F74" s="24">
        <f>IF($C74="","",IF($C74&lt;DATE(2024,10,11),3,1))</f>
        <v/>
      </c>
      <c r="G74" s="28">
        <f>IF($C74="","",E74/F74)</f>
        <v/>
      </c>
      <c r="H74" s="29">
        <f>IF(OR($C74="",G73=""),"",G74/G73-1)</f>
        <v/>
      </c>
      <c r="I74" s="29">
        <f>IF(OR($C74="",G70=""),"",G74/G70-1)</f>
        <v/>
      </c>
      <c r="J74" s="28">
        <f>IF($C74="","",SUM(G71:G74))</f>
        <v/>
      </c>
      <c r="K74" s="30" t="n"/>
      <c r="L74" s="29">
        <f>IF(OR(J74="",K74=""),"",J74/K74)</f>
        <v/>
      </c>
      <c r="M74" s="31" t="n"/>
      <c r="N74" s="32">
        <f>IF(OR(G74="",M74=""),"",G74*M74)</f>
        <v/>
      </c>
      <c r="O74" s="32">
        <f>IF(N74="","",N74*(1-사용법!$C$6))</f>
        <v/>
      </c>
      <c r="P74" s="33" t="n"/>
    </row>
    <row r="75">
      <c r="A75" s="24">
        <f>IF($C75="","",YEAR($C75))</f>
        <v/>
      </c>
      <c r="B75" s="25">
        <f>IF($C75="","",ROUNDUP(MONTH($C75)/3,0))</f>
        <v/>
      </c>
      <c r="C75" s="26" t="n"/>
      <c r="D75" s="26" t="n"/>
      <c r="E75" s="27" t="n"/>
      <c r="F75" s="24">
        <f>IF($C75="","",IF($C75&lt;DATE(2024,10,11),3,1))</f>
        <v/>
      </c>
      <c r="G75" s="28">
        <f>IF($C75="","",E75/F75)</f>
        <v/>
      </c>
      <c r="H75" s="29">
        <f>IF(OR($C75="",G74=""),"",G75/G74-1)</f>
        <v/>
      </c>
      <c r="I75" s="29">
        <f>IF(OR($C75="",G71=""),"",G75/G71-1)</f>
        <v/>
      </c>
      <c r="J75" s="28">
        <f>IF($C75="","",SUM(G72:G75))</f>
        <v/>
      </c>
      <c r="K75" s="30" t="n"/>
      <c r="L75" s="29">
        <f>IF(OR(J75="",K75=""),"",J75/K75)</f>
        <v/>
      </c>
      <c r="M75" s="31" t="n"/>
      <c r="N75" s="32">
        <f>IF(OR(G75="",M75=""),"",G75*M75)</f>
        <v/>
      </c>
      <c r="O75" s="32">
        <f>IF(N75="","",N75*(1-사용법!$C$6))</f>
        <v/>
      </c>
      <c r="P75" s="33" t="n"/>
    </row>
    <row r="76">
      <c r="A76" s="24">
        <f>IF($C76="","",YEAR($C76))</f>
        <v/>
      </c>
      <c r="B76" s="25">
        <f>IF($C76="","",ROUNDUP(MONTH($C76)/3,0))</f>
        <v/>
      </c>
      <c r="C76" s="26" t="n"/>
      <c r="D76" s="26" t="n"/>
      <c r="E76" s="27" t="n"/>
      <c r="F76" s="24">
        <f>IF($C76="","",IF($C76&lt;DATE(2024,10,11),3,1))</f>
        <v/>
      </c>
      <c r="G76" s="28">
        <f>IF($C76="","",E76/F76)</f>
        <v/>
      </c>
      <c r="H76" s="29">
        <f>IF(OR($C76="",G75=""),"",G76/G75-1)</f>
        <v/>
      </c>
      <c r="I76" s="29">
        <f>IF(OR($C76="",G72=""),"",G76/G72-1)</f>
        <v/>
      </c>
      <c r="J76" s="28">
        <f>IF($C76="","",SUM(G73:G76))</f>
        <v/>
      </c>
      <c r="K76" s="30" t="n"/>
      <c r="L76" s="29">
        <f>IF(OR(J76="",K76=""),"",J76/K76)</f>
        <v/>
      </c>
      <c r="M76" s="31" t="n"/>
      <c r="N76" s="32">
        <f>IF(OR(G76="",M76=""),"",G76*M76)</f>
        <v/>
      </c>
      <c r="O76" s="32">
        <f>IF(N76="","",N76*(1-사용법!$C$6))</f>
        <v/>
      </c>
      <c r="P76" s="33" t="n"/>
    </row>
    <row r="77">
      <c r="A77" s="24">
        <f>IF($C77="","",YEAR($C77))</f>
        <v/>
      </c>
      <c r="B77" s="25">
        <f>IF($C77="","",ROUNDUP(MONTH($C77)/3,0))</f>
        <v/>
      </c>
      <c r="C77" s="26" t="n"/>
      <c r="D77" s="26" t="n"/>
      <c r="E77" s="27" t="n"/>
      <c r="F77" s="24">
        <f>IF($C77="","",IF($C77&lt;DATE(2024,10,11),3,1))</f>
        <v/>
      </c>
      <c r="G77" s="28">
        <f>IF($C77="","",E77/F77)</f>
        <v/>
      </c>
      <c r="H77" s="29">
        <f>IF(OR($C77="",G76=""),"",G77/G76-1)</f>
        <v/>
      </c>
      <c r="I77" s="29">
        <f>IF(OR($C77="",G73=""),"",G77/G73-1)</f>
        <v/>
      </c>
      <c r="J77" s="28">
        <f>IF($C77="","",SUM(G74:G77))</f>
        <v/>
      </c>
      <c r="K77" s="30" t="n"/>
      <c r="L77" s="29">
        <f>IF(OR(J77="",K77=""),"",J77/K77)</f>
        <v/>
      </c>
      <c r="M77" s="31" t="n"/>
      <c r="N77" s="32">
        <f>IF(OR(G77="",M77=""),"",G77*M77)</f>
        <v/>
      </c>
      <c r="O77" s="32">
        <f>IF(N77="","",N77*(1-사용법!$C$6))</f>
        <v/>
      </c>
      <c r="P77" s="33" t="n"/>
    </row>
    <row r="78">
      <c r="A78" s="24">
        <f>IF($C78="","",YEAR($C78))</f>
        <v/>
      </c>
      <c r="B78" s="25">
        <f>IF($C78="","",ROUNDUP(MONTH($C78)/3,0))</f>
        <v/>
      </c>
      <c r="C78" s="26" t="n"/>
      <c r="D78" s="26" t="n"/>
      <c r="E78" s="27" t="n"/>
      <c r="F78" s="24">
        <f>IF($C78="","",IF($C78&lt;DATE(2024,10,11),3,1))</f>
        <v/>
      </c>
      <c r="G78" s="28">
        <f>IF($C78="","",E78/F78)</f>
        <v/>
      </c>
      <c r="H78" s="29">
        <f>IF(OR($C78="",G77=""),"",G78/G77-1)</f>
        <v/>
      </c>
      <c r="I78" s="29">
        <f>IF(OR($C78="",G74=""),"",G78/G74-1)</f>
        <v/>
      </c>
      <c r="J78" s="28">
        <f>IF($C78="","",SUM(G75:G78))</f>
        <v/>
      </c>
      <c r="K78" s="30" t="n"/>
      <c r="L78" s="29">
        <f>IF(OR(J78="",K78=""),"",J78/K78)</f>
        <v/>
      </c>
      <c r="M78" s="31" t="n"/>
      <c r="N78" s="32">
        <f>IF(OR(G78="",M78=""),"",G78*M78)</f>
        <v/>
      </c>
      <c r="O78" s="32">
        <f>IF(N78="","",N78*(1-사용법!$C$6))</f>
        <v/>
      </c>
      <c r="P78" s="33" t="n"/>
    </row>
    <row r="79">
      <c r="A79" s="24">
        <f>IF($C79="","",YEAR($C79))</f>
        <v/>
      </c>
      <c r="B79" s="25">
        <f>IF($C79="","",ROUNDUP(MONTH($C79)/3,0))</f>
        <v/>
      </c>
      <c r="C79" s="26" t="n"/>
      <c r="D79" s="26" t="n"/>
      <c r="E79" s="27" t="n"/>
      <c r="F79" s="24">
        <f>IF($C79="","",IF($C79&lt;DATE(2024,10,11),3,1))</f>
        <v/>
      </c>
      <c r="G79" s="28">
        <f>IF($C79="","",E79/F79)</f>
        <v/>
      </c>
      <c r="H79" s="29">
        <f>IF(OR($C79="",G78=""),"",G79/G78-1)</f>
        <v/>
      </c>
      <c r="I79" s="29">
        <f>IF(OR($C79="",G75=""),"",G79/G75-1)</f>
        <v/>
      </c>
      <c r="J79" s="28">
        <f>IF($C79="","",SUM(G76:G79))</f>
        <v/>
      </c>
      <c r="K79" s="30" t="n"/>
      <c r="L79" s="29">
        <f>IF(OR(J79="",K79=""),"",J79/K79)</f>
        <v/>
      </c>
      <c r="M79" s="31" t="n"/>
      <c r="N79" s="32">
        <f>IF(OR(G79="",M79=""),"",G79*M79)</f>
        <v/>
      </c>
      <c r="O79" s="32">
        <f>IF(N79="","",N79*(1-사용법!$C$6))</f>
        <v/>
      </c>
      <c r="P79" s="33" t="n"/>
    </row>
    <row r="80">
      <c r="A80" s="24">
        <f>IF($C80="","",YEAR($C80))</f>
        <v/>
      </c>
      <c r="B80" s="25">
        <f>IF($C80="","",ROUNDUP(MONTH($C80)/3,0))</f>
        <v/>
      </c>
      <c r="C80" s="26" t="n"/>
      <c r="D80" s="26" t="n"/>
      <c r="E80" s="27" t="n"/>
      <c r="F80" s="24">
        <f>IF($C80="","",IF($C80&lt;DATE(2024,10,11),3,1))</f>
        <v/>
      </c>
      <c r="G80" s="28">
        <f>IF($C80="","",E80/F80)</f>
        <v/>
      </c>
      <c r="H80" s="29">
        <f>IF(OR($C80="",G79=""),"",G80/G79-1)</f>
        <v/>
      </c>
      <c r="I80" s="29">
        <f>IF(OR($C80="",G76=""),"",G80/G76-1)</f>
        <v/>
      </c>
      <c r="J80" s="28">
        <f>IF($C80="","",SUM(G77:G80))</f>
        <v/>
      </c>
      <c r="K80" s="30" t="n"/>
      <c r="L80" s="29">
        <f>IF(OR(J80="",K80=""),"",J80/K80)</f>
        <v/>
      </c>
      <c r="M80" s="31" t="n"/>
      <c r="N80" s="32">
        <f>IF(OR(G80="",M80=""),"",G80*M80)</f>
        <v/>
      </c>
      <c r="O80" s="32">
        <f>IF(N80="","",N80*(1-사용법!$C$6))</f>
        <v/>
      </c>
      <c r="P80" s="33" t="n"/>
    </row>
    <row r="81">
      <c r="A81" s="24">
        <f>IF($C81="","",YEAR($C81))</f>
        <v/>
      </c>
      <c r="B81" s="25">
        <f>IF($C81="","",ROUNDUP(MONTH($C81)/3,0))</f>
        <v/>
      </c>
      <c r="C81" s="26" t="n"/>
      <c r="D81" s="26" t="n"/>
      <c r="E81" s="27" t="n"/>
      <c r="F81" s="24">
        <f>IF($C81="","",IF($C81&lt;DATE(2024,10,11),3,1))</f>
        <v/>
      </c>
      <c r="G81" s="28">
        <f>IF($C81="","",E81/F81)</f>
        <v/>
      </c>
      <c r="H81" s="29">
        <f>IF(OR($C81="",G80=""),"",G81/G80-1)</f>
        <v/>
      </c>
      <c r="I81" s="29">
        <f>IF(OR($C81="",G77=""),"",G81/G77-1)</f>
        <v/>
      </c>
      <c r="J81" s="28">
        <f>IF($C81="","",SUM(G78:G81))</f>
        <v/>
      </c>
      <c r="K81" s="30" t="n"/>
      <c r="L81" s="29">
        <f>IF(OR(J81="",K81=""),"",J81/K81)</f>
        <v/>
      </c>
      <c r="M81" s="31" t="n"/>
      <c r="N81" s="32">
        <f>IF(OR(G81="",M81=""),"",G81*M81)</f>
        <v/>
      </c>
      <c r="O81" s="32">
        <f>IF(N81="","",N81*(1-사용법!$C$6))</f>
        <v/>
      </c>
      <c r="P81" s="33" t="n"/>
    </row>
    <row r="82">
      <c r="A82" s="24">
        <f>IF($C82="","",YEAR($C82))</f>
        <v/>
      </c>
      <c r="B82" s="25">
        <f>IF($C82="","",ROUNDUP(MONTH($C82)/3,0))</f>
        <v/>
      </c>
      <c r="C82" s="26" t="n"/>
      <c r="D82" s="26" t="n"/>
      <c r="E82" s="27" t="n"/>
      <c r="F82" s="24">
        <f>IF($C82="","",IF($C82&lt;DATE(2024,10,11),3,1))</f>
        <v/>
      </c>
      <c r="G82" s="28">
        <f>IF($C82="","",E82/F82)</f>
        <v/>
      </c>
      <c r="H82" s="29">
        <f>IF(OR($C82="",G81=""),"",G82/G81-1)</f>
        <v/>
      </c>
      <c r="I82" s="29">
        <f>IF(OR($C82="",G78=""),"",G82/G78-1)</f>
        <v/>
      </c>
      <c r="J82" s="28">
        <f>IF($C82="","",SUM(G79:G82))</f>
        <v/>
      </c>
      <c r="K82" s="30" t="n"/>
      <c r="L82" s="29">
        <f>IF(OR(J82="",K82=""),"",J82/K82)</f>
        <v/>
      </c>
      <c r="M82" s="31" t="n"/>
      <c r="N82" s="32">
        <f>IF(OR(G82="",M82=""),"",G82*M82)</f>
        <v/>
      </c>
      <c r="O82" s="32">
        <f>IF(N82="","",N82*(1-사용법!$C$6))</f>
        <v/>
      </c>
      <c r="P82" s="33" t="n"/>
    </row>
    <row r="83">
      <c r="A83" s="24">
        <f>IF($C83="","",YEAR($C83))</f>
        <v/>
      </c>
      <c r="B83" s="25">
        <f>IF($C83="","",ROUNDUP(MONTH($C83)/3,0))</f>
        <v/>
      </c>
      <c r="C83" s="26" t="n"/>
      <c r="D83" s="26" t="n"/>
      <c r="E83" s="27" t="n"/>
      <c r="F83" s="24">
        <f>IF($C83="","",IF($C83&lt;DATE(2024,10,11),3,1))</f>
        <v/>
      </c>
      <c r="G83" s="28">
        <f>IF($C83="","",E83/F83)</f>
        <v/>
      </c>
      <c r="H83" s="29">
        <f>IF(OR($C83="",G82=""),"",G83/G82-1)</f>
        <v/>
      </c>
      <c r="I83" s="29">
        <f>IF(OR($C83="",G79=""),"",G83/G79-1)</f>
        <v/>
      </c>
      <c r="J83" s="28">
        <f>IF($C83="","",SUM(G80:G83))</f>
        <v/>
      </c>
      <c r="K83" s="30" t="n"/>
      <c r="L83" s="29">
        <f>IF(OR(J83="",K83=""),"",J83/K83)</f>
        <v/>
      </c>
      <c r="M83" s="31" t="n"/>
      <c r="N83" s="32">
        <f>IF(OR(G83="",M83=""),"",G83*M83)</f>
        <v/>
      </c>
      <c r="O83" s="32">
        <f>IF(N83="","",N83*(1-사용법!$C$6))</f>
        <v/>
      </c>
      <c r="P83" s="33" t="n"/>
    </row>
    <row r="84">
      <c r="A84" s="24">
        <f>IF($C84="","",YEAR($C84))</f>
        <v/>
      </c>
      <c r="B84" s="25">
        <f>IF($C84="","",ROUNDUP(MONTH($C84)/3,0))</f>
        <v/>
      </c>
      <c r="C84" s="26" t="n"/>
      <c r="D84" s="26" t="n"/>
      <c r="E84" s="27" t="n"/>
      <c r="F84" s="24">
        <f>IF($C84="","",IF($C84&lt;DATE(2024,10,11),3,1))</f>
        <v/>
      </c>
      <c r="G84" s="28">
        <f>IF($C84="","",E84/F84)</f>
        <v/>
      </c>
      <c r="H84" s="29">
        <f>IF(OR($C84="",G83=""),"",G84/G83-1)</f>
        <v/>
      </c>
      <c r="I84" s="29">
        <f>IF(OR($C84="",G80=""),"",G84/G80-1)</f>
        <v/>
      </c>
      <c r="J84" s="28">
        <f>IF($C84="","",SUM(G81:G84))</f>
        <v/>
      </c>
      <c r="K84" s="30" t="n"/>
      <c r="L84" s="29">
        <f>IF(OR(J84="",K84=""),"",J84/K84)</f>
        <v/>
      </c>
      <c r="M84" s="31" t="n"/>
      <c r="N84" s="32">
        <f>IF(OR(G84="",M84=""),"",G84*M84)</f>
        <v/>
      </c>
      <c r="O84" s="32">
        <f>IF(N84="","",N84*(1-사용법!$C$6))</f>
        <v/>
      </c>
      <c r="P84" s="33" t="n"/>
    </row>
    <row r="85">
      <c r="A85" s="24">
        <f>IF($C85="","",YEAR($C85))</f>
        <v/>
      </c>
      <c r="B85" s="25">
        <f>IF($C85="","",ROUNDUP(MONTH($C85)/3,0))</f>
        <v/>
      </c>
      <c r="C85" s="26" t="n"/>
      <c r="D85" s="26" t="n"/>
      <c r="E85" s="27" t="n"/>
      <c r="F85" s="24">
        <f>IF($C85="","",IF($C85&lt;DATE(2024,10,11),3,1))</f>
        <v/>
      </c>
      <c r="G85" s="28">
        <f>IF($C85="","",E85/F85)</f>
        <v/>
      </c>
      <c r="H85" s="29">
        <f>IF(OR($C85="",G84=""),"",G85/G84-1)</f>
        <v/>
      </c>
      <c r="I85" s="29">
        <f>IF(OR($C85="",G81=""),"",G85/G81-1)</f>
        <v/>
      </c>
      <c r="J85" s="28">
        <f>IF($C85="","",SUM(G82:G85))</f>
        <v/>
      </c>
      <c r="K85" s="30" t="n"/>
      <c r="L85" s="29">
        <f>IF(OR(J85="",K85=""),"",J85/K85)</f>
        <v/>
      </c>
      <c r="M85" s="31" t="n"/>
      <c r="N85" s="32">
        <f>IF(OR(G85="",M85=""),"",G85*M85)</f>
        <v/>
      </c>
      <c r="O85" s="32">
        <f>IF(N85="","",N85*(1-사용법!$C$6))</f>
        <v/>
      </c>
      <c r="P85" s="33" t="n"/>
    </row>
    <row r="86">
      <c r="A86" s="24">
        <f>IF($C86="","",YEAR($C86))</f>
        <v/>
      </c>
      <c r="B86" s="25">
        <f>IF($C86="","",ROUNDUP(MONTH($C86)/3,0))</f>
        <v/>
      </c>
      <c r="C86" s="26" t="n"/>
      <c r="D86" s="26" t="n"/>
      <c r="E86" s="27" t="n"/>
      <c r="F86" s="24">
        <f>IF($C86="","",IF($C86&lt;DATE(2024,10,11),3,1))</f>
        <v/>
      </c>
      <c r="G86" s="28">
        <f>IF($C86="","",E86/F86)</f>
        <v/>
      </c>
      <c r="H86" s="29">
        <f>IF(OR($C86="",G85=""),"",G86/G85-1)</f>
        <v/>
      </c>
      <c r="I86" s="29">
        <f>IF(OR($C86="",G82=""),"",G86/G82-1)</f>
        <v/>
      </c>
      <c r="J86" s="28">
        <f>IF($C86="","",SUM(G83:G86))</f>
        <v/>
      </c>
      <c r="K86" s="30" t="n"/>
      <c r="L86" s="29">
        <f>IF(OR(J86="",K86=""),"",J86/K86)</f>
        <v/>
      </c>
      <c r="M86" s="31" t="n"/>
      <c r="N86" s="32">
        <f>IF(OR(G86="",M86=""),"",G86*M86)</f>
        <v/>
      </c>
      <c r="O86" s="32">
        <f>IF(N86="","",N86*(1-사용법!$C$6))</f>
        <v/>
      </c>
      <c r="P86" s="33" t="n"/>
    </row>
    <row r="87">
      <c r="A87" s="24">
        <f>IF($C87="","",YEAR($C87))</f>
        <v/>
      </c>
      <c r="B87" s="25">
        <f>IF($C87="","",ROUNDUP(MONTH($C87)/3,0))</f>
        <v/>
      </c>
      <c r="C87" s="26" t="n"/>
      <c r="D87" s="26" t="n"/>
      <c r="E87" s="27" t="n"/>
      <c r="F87" s="24">
        <f>IF($C87="","",IF($C87&lt;DATE(2024,10,11),3,1))</f>
        <v/>
      </c>
      <c r="G87" s="28">
        <f>IF($C87="","",E87/F87)</f>
        <v/>
      </c>
      <c r="H87" s="29">
        <f>IF(OR($C87="",G86=""),"",G87/G86-1)</f>
        <v/>
      </c>
      <c r="I87" s="29">
        <f>IF(OR($C87="",G83=""),"",G87/G83-1)</f>
        <v/>
      </c>
      <c r="J87" s="28">
        <f>IF($C87="","",SUM(G84:G87))</f>
        <v/>
      </c>
      <c r="K87" s="30" t="n"/>
      <c r="L87" s="29">
        <f>IF(OR(J87="",K87=""),"",J87/K87)</f>
        <v/>
      </c>
      <c r="M87" s="31" t="n"/>
      <c r="N87" s="32">
        <f>IF(OR(G87="",M87=""),"",G87*M87)</f>
        <v/>
      </c>
      <c r="O87" s="32">
        <f>IF(N87="","",N87*(1-사용법!$C$6))</f>
        <v/>
      </c>
      <c r="P87" s="33" t="n"/>
    </row>
    <row r="88">
      <c r="A88" s="24">
        <f>IF($C88="","",YEAR($C88))</f>
        <v/>
      </c>
      <c r="B88" s="25">
        <f>IF($C88="","",ROUNDUP(MONTH($C88)/3,0))</f>
        <v/>
      </c>
      <c r="C88" s="26" t="n"/>
      <c r="D88" s="26" t="n"/>
      <c r="E88" s="27" t="n"/>
      <c r="F88" s="24">
        <f>IF($C88="","",IF($C88&lt;DATE(2024,10,11),3,1))</f>
        <v/>
      </c>
      <c r="G88" s="28">
        <f>IF($C88="","",E88/F88)</f>
        <v/>
      </c>
      <c r="H88" s="29">
        <f>IF(OR($C88="",G87=""),"",G88/G87-1)</f>
        <v/>
      </c>
      <c r="I88" s="29">
        <f>IF(OR($C88="",G84=""),"",G88/G84-1)</f>
        <v/>
      </c>
      <c r="J88" s="28">
        <f>IF($C88="","",SUM(G85:G88))</f>
        <v/>
      </c>
      <c r="K88" s="30" t="n"/>
      <c r="L88" s="29">
        <f>IF(OR(J88="",K88=""),"",J88/K88)</f>
        <v/>
      </c>
      <c r="M88" s="31" t="n"/>
      <c r="N88" s="32">
        <f>IF(OR(G88="",M88=""),"",G88*M88)</f>
        <v/>
      </c>
      <c r="O88" s="32">
        <f>IF(N88="","",N88*(1-사용법!$C$6))</f>
        <v/>
      </c>
      <c r="P88" s="33" t="n"/>
    </row>
    <row r="89">
      <c r="A89" s="24">
        <f>IF($C89="","",YEAR($C89))</f>
        <v/>
      </c>
      <c r="B89" s="25">
        <f>IF($C89="","",ROUNDUP(MONTH($C89)/3,0))</f>
        <v/>
      </c>
      <c r="C89" s="26" t="n"/>
      <c r="D89" s="26" t="n"/>
      <c r="E89" s="27" t="n"/>
      <c r="F89" s="24">
        <f>IF($C89="","",IF($C89&lt;DATE(2024,10,11),3,1))</f>
        <v/>
      </c>
      <c r="G89" s="28">
        <f>IF($C89="","",E89/F89)</f>
        <v/>
      </c>
      <c r="H89" s="29">
        <f>IF(OR($C89="",G88=""),"",G89/G88-1)</f>
        <v/>
      </c>
      <c r="I89" s="29">
        <f>IF(OR($C89="",G85=""),"",G89/G85-1)</f>
        <v/>
      </c>
      <c r="J89" s="28">
        <f>IF($C89="","",SUM(G86:G89))</f>
        <v/>
      </c>
      <c r="K89" s="30" t="n"/>
      <c r="L89" s="29">
        <f>IF(OR(J89="",K89=""),"",J89/K89)</f>
        <v/>
      </c>
      <c r="M89" s="31" t="n"/>
      <c r="N89" s="32">
        <f>IF(OR(G89="",M89=""),"",G89*M89)</f>
        <v/>
      </c>
      <c r="O89" s="32">
        <f>IF(N89="","",N89*(1-사용법!$C$6))</f>
        <v/>
      </c>
      <c r="P89" s="33" t="n"/>
    </row>
    <row r="90">
      <c r="A90" s="24">
        <f>IF($C90="","",YEAR($C90))</f>
        <v/>
      </c>
      <c r="B90" s="25">
        <f>IF($C90="","",ROUNDUP(MONTH($C90)/3,0))</f>
        <v/>
      </c>
      <c r="C90" s="26" t="n"/>
      <c r="D90" s="26" t="n"/>
      <c r="E90" s="27" t="n"/>
      <c r="F90" s="24">
        <f>IF($C90="","",IF($C90&lt;DATE(2024,10,11),3,1))</f>
        <v/>
      </c>
      <c r="G90" s="28">
        <f>IF($C90="","",E90/F90)</f>
        <v/>
      </c>
      <c r="H90" s="29">
        <f>IF(OR($C90="",G89=""),"",G90/G89-1)</f>
        <v/>
      </c>
      <c r="I90" s="29">
        <f>IF(OR($C90="",G86=""),"",G90/G86-1)</f>
        <v/>
      </c>
      <c r="J90" s="28">
        <f>IF($C90="","",SUM(G87:G90))</f>
        <v/>
      </c>
      <c r="K90" s="30" t="n"/>
      <c r="L90" s="29">
        <f>IF(OR(J90="",K90=""),"",J90/K90)</f>
        <v/>
      </c>
      <c r="M90" s="31" t="n"/>
      <c r="N90" s="32">
        <f>IF(OR(G90="",M90=""),"",G90*M90)</f>
        <v/>
      </c>
      <c r="O90" s="32">
        <f>IF(N90="","",N90*(1-사용법!$C$6))</f>
        <v/>
      </c>
      <c r="P90" s="33" t="n"/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5" customWidth="1" min="3" max="3"/>
    <col width="13" customWidth="1" min="4" max="4"/>
    <col width="11" customWidth="1" min="5" max="5"/>
    <col width="10" customWidth="1" min="6" max="6"/>
    <col width="13" customWidth="1" min="7" max="7"/>
    <col width="14" customWidth="1" min="8" max="8"/>
    <col width="12" customWidth="1" min="9" max="9"/>
    <col width="13" customWidth="1" min="10" max="10"/>
    <col width="10" customWidth="1" min="11" max="11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 ht="34" customHeight="1">
      <c r="A1" s="23" t="inlineStr">
        <is>
          <t>연도</t>
        </is>
      </c>
      <c r="B1" s="23" t="inlineStr">
        <is>
          <t>배당
횟수</t>
        </is>
      </c>
      <c r="C1" s="23" t="inlineStr">
        <is>
          <t>연간 배당
(USD, 현재 1주)</t>
        </is>
      </c>
      <c r="D1" s="23" t="inlineStr">
        <is>
          <t>상태</t>
        </is>
      </c>
      <c r="E1" s="23" t="inlineStr">
        <is>
          <t>전년 대비
성장률</t>
        </is>
      </c>
      <c r="F1" s="23" t="inlineStr">
        <is>
          <t>연속 증가
(년)</t>
        </is>
      </c>
      <c r="G1" s="23" t="inlineStr">
        <is>
          <t>올해 누적
vs 작년 동기</t>
        </is>
      </c>
      <c r="H1" s="23" t="inlineStr">
        <is>
          <t>연간 배당
원화(세전)</t>
        </is>
      </c>
      <c r="I1" s="23" t="inlineStr">
        <is>
          <t>미지급 분기
예상분</t>
        </is>
      </c>
      <c r="J1" s="23" t="inlineStr">
        <is>
          <t>연간 배당
(예상 포함)</t>
        </is>
      </c>
      <c r="K1" s="23" t="inlineStr">
        <is>
          <t>예상
성장률</t>
        </is>
      </c>
      <c r="M1" s="34" t="inlineStr">
        <is>
          <t>차트용
연도</t>
        </is>
      </c>
      <c r="N1" s="34" t="inlineStr">
        <is>
          <t>확정
배당</t>
        </is>
      </c>
      <c r="O1" s="34" t="inlineStr">
        <is>
          <t>예상
추가분</t>
        </is>
      </c>
      <c r="P1" s="34" t="inlineStr">
        <is>
          <t>확정
성장률</t>
        </is>
      </c>
      <c r="Q1" s="34" t="inlineStr">
        <is>
          <t>예상
성장률</t>
        </is>
      </c>
      <c r="R1" s="34" t="inlineStr">
        <is>
          <t>전체 평균
배당</t>
        </is>
      </c>
      <c r="S1" s="34" t="inlineStr">
        <is>
          <t>전체 평균
성장률</t>
        </is>
      </c>
      <c r="T1" s="34" t="inlineStr">
        <is>
          <t>연간 합계
(예상 포함)</t>
        </is>
      </c>
    </row>
    <row r="2">
      <c r="A2" s="35" t="n">
        <v>2012</v>
      </c>
      <c r="B2" s="35">
        <f>COUNTIFS(SCHD_배당!$A$2:$A$90,A2)</f>
        <v/>
      </c>
      <c r="C2" s="28">
        <f>IF(B2=0,"",SUMIFS(SCHD_배당!$G$2:$G$90,SCHD_배당!$A$2:$A$90,A2))</f>
        <v/>
      </c>
      <c r="D2" s="35">
        <f>IF(B2=0,"",IF(B2&gt;=4,"확정","진행중("&amp;B2&amp;"회)"))</f>
        <v/>
      </c>
      <c r="E2" s="29" t="inlineStr"/>
      <c r="F2" s="35" t="inlineStr"/>
      <c r="G2" s="29" t="inlineStr"/>
      <c r="H2" s="32">
        <f>IF(B2=0,"",SUMIFS(SCHD_배당!$N$2:$N$90,SCHD_배당!$A$2:$A$90,A2))</f>
        <v/>
      </c>
      <c r="I2" s="36">
        <f>IF(AND(B2&gt;0,B2&lt;4),(4-B2)*C2/B2,"")</f>
        <v/>
      </c>
      <c r="J2" s="36">
        <f>IF(B2=0,"",C2+IF(I2="",0,I2))</f>
        <v/>
      </c>
      <c r="K2" s="37" t="inlineStr"/>
      <c r="M2" s="2">
        <f>IF(B2=0,"",TEXT(A2,"0"))</f>
        <v/>
      </c>
      <c r="N2" s="38">
        <f>IF(B2=0,"",C2)</f>
        <v/>
      </c>
      <c r="O2" s="38">
        <f>IF(I2="","",I2)</f>
        <v/>
      </c>
      <c r="P2" s="39">
        <f>IF(E2="","",E2)</f>
        <v/>
      </c>
      <c r="Q2" s="39">
        <f>IF(K2="","",K2)</f>
        <v/>
      </c>
      <c r="R2" s="38">
        <f>IF(B2=0,"",AVERAGEIFS($C$2:$C$21,$B$2:$B$21,"&gt;=4"))</f>
        <v/>
      </c>
      <c r="S2" s="39">
        <f>IF(B2=0,"",AVERAGE($E$2:$E$21))</f>
        <v/>
      </c>
      <c r="T2" s="38">
        <f>IF(B2=0,"",J2)</f>
        <v/>
      </c>
    </row>
    <row r="3">
      <c r="A3" s="35" t="n">
        <v>2013</v>
      </c>
      <c r="B3" s="35">
        <f>COUNTIFS(SCHD_배당!$A$2:$A$90,A3)</f>
        <v/>
      </c>
      <c r="C3" s="28">
        <f>IF(B3=0,"",SUMIFS(SCHD_배당!$G$2:$G$90,SCHD_배당!$A$2:$A$90,A3))</f>
        <v/>
      </c>
      <c r="D3" s="35">
        <f>IF(B3=0,"",IF(B3&gt;=4,"확정","진행중("&amp;B3&amp;"회)"))</f>
        <v/>
      </c>
      <c r="E3" s="29">
        <f>IF(AND(B3&gt;=4,B2&gt;=4),C3/C2-1,"")</f>
        <v/>
      </c>
      <c r="F3" s="35">
        <f>IF(E3="","",IF(E3&gt;0,IF(F2="",1,F2+1),0))</f>
        <v/>
      </c>
      <c r="G3" s="29">
        <f>IF(AND(B3&gt;0,B3&lt;4),C3/SUMIFS(SCHD_배당!$G$2:$G$90,SCHD_배당!$A$2:$A$90,A2,SCHD_배당!$B$2:$B$90,"&lt;="&amp;B3)-1,"")</f>
        <v/>
      </c>
      <c r="H3" s="32">
        <f>IF(B3=0,"",SUMIFS(SCHD_배당!$N$2:$N$90,SCHD_배당!$A$2:$A$90,A3))</f>
        <v/>
      </c>
      <c r="I3" s="36">
        <f>IF(AND(B3&gt;0,B3&lt;4),(4-B3)*C3/B3,"")</f>
        <v/>
      </c>
      <c r="J3" s="36">
        <f>IF(B3=0,"",C3+IF(I3="",0,I3))</f>
        <v/>
      </c>
      <c r="K3" s="37">
        <f>IF(AND(I3&lt;&gt;"",B2&gt;=4),J3/C2-1,"")</f>
        <v/>
      </c>
      <c r="M3" s="2">
        <f>IF(B3=0,"",TEXT(A3,"0"))</f>
        <v/>
      </c>
      <c r="N3" s="38">
        <f>IF(B3=0,"",C3)</f>
        <v/>
      </c>
      <c r="O3" s="38">
        <f>IF(I3="","",I3)</f>
        <v/>
      </c>
      <c r="P3" s="39">
        <f>IF(E3="","",E3)</f>
        <v/>
      </c>
      <c r="Q3" s="39">
        <f>IF(K3="","",K3)</f>
        <v/>
      </c>
      <c r="R3" s="38">
        <f>IF(B3=0,"",AVERAGEIFS($C$2:$C$21,$B$2:$B$21,"&gt;=4"))</f>
        <v/>
      </c>
      <c r="S3" s="39">
        <f>IF(B3=0,"",AVERAGE($E$2:$E$21))</f>
        <v/>
      </c>
      <c r="T3" s="38">
        <f>IF(B3=0,"",J3)</f>
        <v/>
      </c>
    </row>
    <row r="4">
      <c r="A4" s="35" t="n">
        <v>2014</v>
      </c>
      <c r="B4" s="35">
        <f>COUNTIFS(SCHD_배당!$A$2:$A$90,A4)</f>
        <v/>
      </c>
      <c r="C4" s="28">
        <f>IF(B4=0,"",SUMIFS(SCHD_배당!$G$2:$G$90,SCHD_배당!$A$2:$A$90,A4))</f>
        <v/>
      </c>
      <c r="D4" s="35">
        <f>IF(B4=0,"",IF(B4&gt;=4,"확정","진행중("&amp;B4&amp;"회)"))</f>
        <v/>
      </c>
      <c r="E4" s="29">
        <f>IF(AND(B4&gt;=4,B3&gt;=4),C4/C3-1,"")</f>
        <v/>
      </c>
      <c r="F4" s="35">
        <f>IF(E4="","",IF(E4&gt;0,IF(F3="",1,F3+1),0))</f>
        <v/>
      </c>
      <c r="G4" s="29">
        <f>IF(AND(B4&gt;0,B4&lt;4),C4/SUMIFS(SCHD_배당!$G$2:$G$90,SCHD_배당!$A$2:$A$90,A3,SCHD_배당!$B$2:$B$90,"&lt;="&amp;B4)-1,"")</f>
        <v/>
      </c>
      <c r="H4" s="32">
        <f>IF(B4=0,"",SUMIFS(SCHD_배당!$N$2:$N$90,SCHD_배당!$A$2:$A$90,A4))</f>
        <v/>
      </c>
      <c r="I4" s="36">
        <f>IF(AND(B4&gt;0,B4&lt;4),(4-B4)*C4/B4,"")</f>
        <v/>
      </c>
      <c r="J4" s="36">
        <f>IF(B4=0,"",C4+IF(I4="",0,I4))</f>
        <v/>
      </c>
      <c r="K4" s="37">
        <f>IF(AND(I4&lt;&gt;"",B3&gt;=4),J4/C3-1,"")</f>
        <v/>
      </c>
      <c r="M4" s="2">
        <f>IF(B4=0,"",TEXT(A4,"0"))</f>
        <v/>
      </c>
      <c r="N4" s="38">
        <f>IF(B4=0,"",C4)</f>
        <v/>
      </c>
      <c r="O4" s="38">
        <f>IF(I4="","",I4)</f>
        <v/>
      </c>
      <c r="P4" s="39">
        <f>IF(E4="","",E4)</f>
        <v/>
      </c>
      <c r="Q4" s="39">
        <f>IF(K4="","",K4)</f>
        <v/>
      </c>
      <c r="R4" s="38">
        <f>IF(B4=0,"",AVERAGEIFS($C$2:$C$21,$B$2:$B$21,"&gt;=4"))</f>
        <v/>
      </c>
      <c r="S4" s="39">
        <f>IF(B4=0,"",AVERAGE($E$2:$E$21))</f>
        <v/>
      </c>
      <c r="T4" s="38">
        <f>IF(B4=0,"",J4)</f>
        <v/>
      </c>
    </row>
    <row r="5">
      <c r="A5" s="35" t="n">
        <v>2015</v>
      </c>
      <c r="B5" s="35">
        <f>COUNTIFS(SCHD_배당!$A$2:$A$90,A5)</f>
        <v/>
      </c>
      <c r="C5" s="28">
        <f>IF(B5=0,"",SUMIFS(SCHD_배당!$G$2:$G$90,SCHD_배당!$A$2:$A$90,A5))</f>
        <v/>
      </c>
      <c r="D5" s="35">
        <f>IF(B5=0,"",IF(B5&gt;=4,"확정","진행중("&amp;B5&amp;"회)"))</f>
        <v/>
      </c>
      <c r="E5" s="29">
        <f>IF(AND(B5&gt;=4,B4&gt;=4),C5/C4-1,"")</f>
        <v/>
      </c>
      <c r="F5" s="35">
        <f>IF(E5="","",IF(E5&gt;0,IF(F4="",1,F4+1),0))</f>
        <v/>
      </c>
      <c r="G5" s="29">
        <f>IF(AND(B5&gt;0,B5&lt;4),C5/SUMIFS(SCHD_배당!$G$2:$G$90,SCHD_배당!$A$2:$A$90,A4,SCHD_배당!$B$2:$B$90,"&lt;="&amp;B5)-1,"")</f>
        <v/>
      </c>
      <c r="H5" s="32">
        <f>IF(B5=0,"",SUMIFS(SCHD_배당!$N$2:$N$90,SCHD_배당!$A$2:$A$90,A5))</f>
        <v/>
      </c>
      <c r="I5" s="36">
        <f>IF(AND(B5&gt;0,B5&lt;4),(4-B5)*C5/B5,"")</f>
        <v/>
      </c>
      <c r="J5" s="36">
        <f>IF(B5=0,"",C5+IF(I5="",0,I5))</f>
        <v/>
      </c>
      <c r="K5" s="37">
        <f>IF(AND(I5&lt;&gt;"",B4&gt;=4),J5/C4-1,"")</f>
        <v/>
      </c>
      <c r="M5" s="2">
        <f>IF(B5=0,"",TEXT(A5,"0"))</f>
        <v/>
      </c>
      <c r="N5" s="38">
        <f>IF(B5=0,"",C5)</f>
        <v/>
      </c>
      <c r="O5" s="38">
        <f>IF(I5="","",I5)</f>
        <v/>
      </c>
      <c r="P5" s="39">
        <f>IF(E5="","",E5)</f>
        <v/>
      </c>
      <c r="Q5" s="39">
        <f>IF(K5="","",K5)</f>
        <v/>
      </c>
      <c r="R5" s="38">
        <f>IF(B5=0,"",AVERAGEIFS($C$2:$C$21,$B$2:$B$21,"&gt;=4"))</f>
        <v/>
      </c>
      <c r="S5" s="39">
        <f>IF(B5=0,"",AVERAGE($E$2:$E$21))</f>
        <v/>
      </c>
      <c r="T5" s="38">
        <f>IF(B5=0,"",J5)</f>
        <v/>
      </c>
    </row>
    <row r="6">
      <c r="A6" s="35" t="n">
        <v>2016</v>
      </c>
      <c r="B6" s="35">
        <f>COUNTIFS(SCHD_배당!$A$2:$A$90,A6)</f>
        <v/>
      </c>
      <c r="C6" s="28">
        <f>IF(B6=0,"",SUMIFS(SCHD_배당!$G$2:$G$90,SCHD_배당!$A$2:$A$90,A6))</f>
        <v/>
      </c>
      <c r="D6" s="35">
        <f>IF(B6=0,"",IF(B6&gt;=4,"확정","진행중("&amp;B6&amp;"회)"))</f>
        <v/>
      </c>
      <c r="E6" s="29">
        <f>IF(AND(B6&gt;=4,B5&gt;=4),C6/C5-1,"")</f>
        <v/>
      </c>
      <c r="F6" s="35">
        <f>IF(E6="","",IF(E6&gt;0,IF(F5="",1,F5+1),0))</f>
        <v/>
      </c>
      <c r="G6" s="29">
        <f>IF(AND(B6&gt;0,B6&lt;4),C6/SUMIFS(SCHD_배당!$G$2:$G$90,SCHD_배당!$A$2:$A$90,A5,SCHD_배당!$B$2:$B$90,"&lt;="&amp;B6)-1,"")</f>
        <v/>
      </c>
      <c r="H6" s="32">
        <f>IF(B6=0,"",SUMIFS(SCHD_배당!$N$2:$N$90,SCHD_배당!$A$2:$A$90,A6))</f>
        <v/>
      </c>
      <c r="I6" s="36">
        <f>IF(AND(B6&gt;0,B6&lt;4),(4-B6)*C6/B6,"")</f>
        <v/>
      </c>
      <c r="J6" s="36">
        <f>IF(B6=0,"",C6+IF(I6="",0,I6))</f>
        <v/>
      </c>
      <c r="K6" s="37">
        <f>IF(AND(I6&lt;&gt;"",B5&gt;=4),J6/C5-1,"")</f>
        <v/>
      </c>
      <c r="M6" s="2">
        <f>IF(B6=0,"",TEXT(A6,"0"))</f>
        <v/>
      </c>
      <c r="N6" s="38">
        <f>IF(B6=0,"",C6)</f>
        <v/>
      </c>
      <c r="O6" s="38">
        <f>IF(I6="","",I6)</f>
        <v/>
      </c>
      <c r="P6" s="39">
        <f>IF(E6="","",E6)</f>
        <v/>
      </c>
      <c r="Q6" s="39">
        <f>IF(K6="","",K6)</f>
        <v/>
      </c>
      <c r="R6" s="38">
        <f>IF(B6=0,"",AVERAGEIFS($C$2:$C$21,$B$2:$B$21,"&gt;=4"))</f>
        <v/>
      </c>
      <c r="S6" s="39">
        <f>IF(B6=0,"",AVERAGE($E$2:$E$21))</f>
        <v/>
      </c>
      <c r="T6" s="38">
        <f>IF(B6=0,"",J6)</f>
        <v/>
      </c>
    </row>
    <row r="7">
      <c r="A7" s="35" t="n">
        <v>2017</v>
      </c>
      <c r="B7" s="35">
        <f>COUNTIFS(SCHD_배당!$A$2:$A$90,A7)</f>
        <v/>
      </c>
      <c r="C7" s="28">
        <f>IF(B7=0,"",SUMIFS(SCHD_배당!$G$2:$G$90,SCHD_배당!$A$2:$A$90,A7))</f>
        <v/>
      </c>
      <c r="D7" s="35">
        <f>IF(B7=0,"",IF(B7&gt;=4,"확정","진행중("&amp;B7&amp;"회)"))</f>
        <v/>
      </c>
      <c r="E7" s="29">
        <f>IF(AND(B7&gt;=4,B6&gt;=4),C7/C6-1,"")</f>
        <v/>
      </c>
      <c r="F7" s="35">
        <f>IF(E7="","",IF(E7&gt;0,IF(F6="",1,F6+1),0))</f>
        <v/>
      </c>
      <c r="G7" s="29">
        <f>IF(AND(B7&gt;0,B7&lt;4),C7/SUMIFS(SCHD_배당!$G$2:$G$90,SCHD_배당!$A$2:$A$90,A6,SCHD_배당!$B$2:$B$90,"&lt;="&amp;B7)-1,"")</f>
        <v/>
      </c>
      <c r="H7" s="32">
        <f>IF(B7=0,"",SUMIFS(SCHD_배당!$N$2:$N$90,SCHD_배당!$A$2:$A$90,A7))</f>
        <v/>
      </c>
      <c r="I7" s="36">
        <f>IF(AND(B7&gt;0,B7&lt;4),(4-B7)*C7/B7,"")</f>
        <v/>
      </c>
      <c r="J7" s="36">
        <f>IF(B7=0,"",C7+IF(I7="",0,I7))</f>
        <v/>
      </c>
      <c r="K7" s="37">
        <f>IF(AND(I7&lt;&gt;"",B6&gt;=4),J7/C6-1,"")</f>
        <v/>
      </c>
      <c r="M7" s="2">
        <f>IF(B7=0,"",TEXT(A7,"0"))</f>
        <v/>
      </c>
      <c r="N7" s="38">
        <f>IF(B7=0,"",C7)</f>
        <v/>
      </c>
      <c r="O7" s="38">
        <f>IF(I7="","",I7)</f>
        <v/>
      </c>
      <c r="P7" s="39">
        <f>IF(E7="","",E7)</f>
        <v/>
      </c>
      <c r="Q7" s="39">
        <f>IF(K7="","",K7)</f>
        <v/>
      </c>
      <c r="R7" s="38">
        <f>IF(B7=0,"",AVERAGEIFS($C$2:$C$21,$B$2:$B$21,"&gt;=4"))</f>
        <v/>
      </c>
      <c r="S7" s="39">
        <f>IF(B7=0,"",AVERAGE($E$2:$E$21))</f>
        <v/>
      </c>
      <c r="T7" s="38">
        <f>IF(B7=0,"",J7)</f>
        <v/>
      </c>
    </row>
    <row r="8">
      <c r="A8" s="35" t="n">
        <v>2018</v>
      </c>
      <c r="B8" s="35">
        <f>COUNTIFS(SCHD_배당!$A$2:$A$90,A8)</f>
        <v/>
      </c>
      <c r="C8" s="28">
        <f>IF(B8=0,"",SUMIFS(SCHD_배당!$G$2:$G$90,SCHD_배당!$A$2:$A$90,A8))</f>
        <v/>
      </c>
      <c r="D8" s="35">
        <f>IF(B8=0,"",IF(B8&gt;=4,"확정","진행중("&amp;B8&amp;"회)"))</f>
        <v/>
      </c>
      <c r="E8" s="29">
        <f>IF(AND(B8&gt;=4,B7&gt;=4),C8/C7-1,"")</f>
        <v/>
      </c>
      <c r="F8" s="35">
        <f>IF(E8="","",IF(E8&gt;0,IF(F7="",1,F7+1),0))</f>
        <v/>
      </c>
      <c r="G8" s="29">
        <f>IF(AND(B8&gt;0,B8&lt;4),C8/SUMIFS(SCHD_배당!$G$2:$G$90,SCHD_배당!$A$2:$A$90,A7,SCHD_배당!$B$2:$B$90,"&lt;="&amp;B8)-1,"")</f>
        <v/>
      </c>
      <c r="H8" s="32">
        <f>IF(B8=0,"",SUMIFS(SCHD_배당!$N$2:$N$90,SCHD_배당!$A$2:$A$90,A8))</f>
        <v/>
      </c>
      <c r="I8" s="36">
        <f>IF(AND(B8&gt;0,B8&lt;4),(4-B8)*C8/B8,"")</f>
        <v/>
      </c>
      <c r="J8" s="36">
        <f>IF(B8=0,"",C8+IF(I8="",0,I8))</f>
        <v/>
      </c>
      <c r="K8" s="37">
        <f>IF(AND(I8&lt;&gt;"",B7&gt;=4),J8/C7-1,"")</f>
        <v/>
      </c>
      <c r="M8" s="2">
        <f>IF(B8=0,"",TEXT(A8,"0"))</f>
        <v/>
      </c>
      <c r="N8" s="38">
        <f>IF(B8=0,"",C8)</f>
        <v/>
      </c>
      <c r="O8" s="38">
        <f>IF(I8="","",I8)</f>
        <v/>
      </c>
      <c r="P8" s="39">
        <f>IF(E8="","",E8)</f>
        <v/>
      </c>
      <c r="Q8" s="39">
        <f>IF(K8="","",K8)</f>
        <v/>
      </c>
      <c r="R8" s="38">
        <f>IF(B8=0,"",AVERAGEIFS($C$2:$C$21,$B$2:$B$21,"&gt;=4"))</f>
        <v/>
      </c>
      <c r="S8" s="39">
        <f>IF(B8=0,"",AVERAGE($E$2:$E$21))</f>
        <v/>
      </c>
      <c r="T8" s="38">
        <f>IF(B8=0,"",J8)</f>
        <v/>
      </c>
    </row>
    <row r="9">
      <c r="A9" s="35" t="n">
        <v>2019</v>
      </c>
      <c r="B9" s="35">
        <f>COUNTIFS(SCHD_배당!$A$2:$A$90,A9)</f>
        <v/>
      </c>
      <c r="C9" s="28">
        <f>IF(B9=0,"",SUMIFS(SCHD_배당!$G$2:$G$90,SCHD_배당!$A$2:$A$90,A9))</f>
        <v/>
      </c>
      <c r="D9" s="35">
        <f>IF(B9=0,"",IF(B9&gt;=4,"확정","진행중("&amp;B9&amp;"회)"))</f>
        <v/>
      </c>
      <c r="E9" s="29">
        <f>IF(AND(B9&gt;=4,B8&gt;=4),C9/C8-1,"")</f>
        <v/>
      </c>
      <c r="F9" s="35">
        <f>IF(E9="","",IF(E9&gt;0,IF(F8="",1,F8+1),0))</f>
        <v/>
      </c>
      <c r="G9" s="29">
        <f>IF(AND(B9&gt;0,B9&lt;4),C9/SUMIFS(SCHD_배당!$G$2:$G$90,SCHD_배당!$A$2:$A$90,A8,SCHD_배당!$B$2:$B$90,"&lt;="&amp;B9)-1,"")</f>
        <v/>
      </c>
      <c r="H9" s="32">
        <f>IF(B9=0,"",SUMIFS(SCHD_배당!$N$2:$N$90,SCHD_배당!$A$2:$A$90,A9))</f>
        <v/>
      </c>
      <c r="I9" s="36">
        <f>IF(AND(B9&gt;0,B9&lt;4),(4-B9)*C9/B9,"")</f>
        <v/>
      </c>
      <c r="J9" s="36">
        <f>IF(B9=0,"",C9+IF(I9="",0,I9))</f>
        <v/>
      </c>
      <c r="K9" s="37">
        <f>IF(AND(I9&lt;&gt;"",B8&gt;=4),J9/C8-1,"")</f>
        <v/>
      </c>
      <c r="M9" s="2">
        <f>IF(B9=0,"",TEXT(A9,"0"))</f>
        <v/>
      </c>
      <c r="N9" s="38">
        <f>IF(B9=0,"",C9)</f>
        <v/>
      </c>
      <c r="O9" s="38">
        <f>IF(I9="","",I9)</f>
        <v/>
      </c>
      <c r="P9" s="39">
        <f>IF(E9="","",E9)</f>
        <v/>
      </c>
      <c r="Q9" s="39">
        <f>IF(K9="","",K9)</f>
        <v/>
      </c>
      <c r="R9" s="38">
        <f>IF(B9=0,"",AVERAGEIFS($C$2:$C$21,$B$2:$B$21,"&gt;=4"))</f>
        <v/>
      </c>
      <c r="S9" s="39">
        <f>IF(B9=0,"",AVERAGE($E$2:$E$21))</f>
        <v/>
      </c>
      <c r="T9" s="38">
        <f>IF(B9=0,"",J9)</f>
        <v/>
      </c>
    </row>
    <row r="10">
      <c r="A10" s="35" t="n">
        <v>2020</v>
      </c>
      <c r="B10" s="35">
        <f>COUNTIFS(SCHD_배당!$A$2:$A$90,A10)</f>
        <v/>
      </c>
      <c r="C10" s="28">
        <f>IF(B10=0,"",SUMIFS(SCHD_배당!$G$2:$G$90,SCHD_배당!$A$2:$A$90,A10))</f>
        <v/>
      </c>
      <c r="D10" s="35">
        <f>IF(B10=0,"",IF(B10&gt;=4,"확정","진행중("&amp;B10&amp;"회)"))</f>
        <v/>
      </c>
      <c r="E10" s="29">
        <f>IF(AND(B10&gt;=4,B9&gt;=4),C10/C9-1,"")</f>
        <v/>
      </c>
      <c r="F10" s="35">
        <f>IF(E10="","",IF(E10&gt;0,IF(F9="",1,F9+1),0))</f>
        <v/>
      </c>
      <c r="G10" s="29">
        <f>IF(AND(B10&gt;0,B10&lt;4),C10/SUMIFS(SCHD_배당!$G$2:$G$90,SCHD_배당!$A$2:$A$90,A9,SCHD_배당!$B$2:$B$90,"&lt;="&amp;B10)-1,"")</f>
        <v/>
      </c>
      <c r="H10" s="32">
        <f>IF(B10=0,"",SUMIFS(SCHD_배당!$N$2:$N$90,SCHD_배당!$A$2:$A$90,A10))</f>
        <v/>
      </c>
      <c r="I10" s="36">
        <f>IF(AND(B10&gt;0,B10&lt;4),(4-B10)*C10/B10,"")</f>
        <v/>
      </c>
      <c r="J10" s="36">
        <f>IF(B10=0,"",C10+IF(I10="",0,I10))</f>
        <v/>
      </c>
      <c r="K10" s="37">
        <f>IF(AND(I10&lt;&gt;"",B9&gt;=4),J10/C9-1,"")</f>
        <v/>
      </c>
      <c r="M10" s="2">
        <f>IF(B10=0,"",TEXT(A10,"0"))</f>
        <v/>
      </c>
      <c r="N10" s="38">
        <f>IF(B10=0,"",C10)</f>
        <v/>
      </c>
      <c r="O10" s="38">
        <f>IF(I10="","",I10)</f>
        <v/>
      </c>
      <c r="P10" s="39">
        <f>IF(E10="","",E10)</f>
        <v/>
      </c>
      <c r="Q10" s="39">
        <f>IF(K10="","",K10)</f>
        <v/>
      </c>
      <c r="R10" s="38">
        <f>IF(B10=0,"",AVERAGEIFS($C$2:$C$21,$B$2:$B$21,"&gt;=4"))</f>
        <v/>
      </c>
      <c r="S10" s="39">
        <f>IF(B10=0,"",AVERAGE($E$2:$E$21))</f>
        <v/>
      </c>
      <c r="T10" s="38">
        <f>IF(B10=0,"",J10)</f>
        <v/>
      </c>
    </row>
    <row r="11">
      <c r="A11" s="35" t="n">
        <v>2021</v>
      </c>
      <c r="B11" s="35">
        <f>COUNTIFS(SCHD_배당!$A$2:$A$90,A11)</f>
        <v/>
      </c>
      <c r="C11" s="28">
        <f>IF(B11=0,"",SUMIFS(SCHD_배당!$G$2:$G$90,SCHD_배당!$A$2:$A$90,A11))</f>
        <v/>
      </c>
      <c r="D11" s="35">
        <f>IF(B11=0,"",IF(B11&gt;=4,"확정","진행중("&amp;B11&amp;"회)"))</f>
        <v/>
      </c>
      <c r="E11" s="29">
        <f>IF(AND(B11&gt;=4,B10&gt;=4),C11/C10-1,"")</f>
        <v/>
      </c>
      <c r="F11" s="35">
        <f>IF(E11="","",IF(E11&gt;0,IF(F10="",1,F10+1),0))</f>
        <v/>
      </c>
      <c r="G11" s="29">
        <f>IF(AND(B11&gt;0,B11&lt;4),C11/SUMIFS(SCHD_배당!$G$2:$G$90,SCHD_배당!$A$2:$A$90,A10,SCHD_배당!$B$2:$B$90,"&lt;="&amp;B11)-1,"")</f>
        <v/>
      </c>
      <c r="H11" s="32">
        <f>IF(B11=0,"",SUMIFS(SCHD_배당!$N$2:$N$90,SCHD_배당!$A$2:$A$90,A11))</f>
        <v/>
      </c>
      <c r="I11" s="36">
        <f>IF(AND(B11&gt;0,B11&lt;4),(4-B11)*C11/B11,"")</f>
        <v/>
      </c>
      <c r="J11" s="36">
        <f>IF(B11=0,"",C11+IF(I11="",0,I11))</f>
        <v/>
      </c>
      <c r="K11" s="37">
        <f>IF(AND(I11&lt;&gt;"",B10&gt;=4),J11/C10-1,"")</f>
        <v/>
      </c>
      <c r="M11" s="2">
        <f>IF(B11=0,"",TEXT(A11,"0"))</f>
        <v/>
      </c>
      <c r="N11" s="38">
        <f>IF(B11=0,"",C11)</f>
        <v/>
      </c>
      <c r="O11" s="38">
        <f>IF(I11="","",I11)</f>
        <v/>
      </c>
      <c r="P11" s="39">
        <f>IF(E11="","",E11)</f>
        <v/>
      </c>
      <c r="Q11" s="39">
        <f>IF(K11="","",K11)</f>
        <v/>
      </c>
      <c r="R11" s="38">
        <f>IF(B11=0,"",AVERAGEIFS($C$2:$C$21,$B$2:$B$21,"&gt;=4"))</f>
        <v/>
      </c>
      <c r="S11" s="39">
        <f>IF(B11=0,"",AVERAGE($E$2:$E$21))</f>
        <v/>
      </c>
      <c r="T11" s="38">
        <f>IF(B11=0,"",J11)</f>
        <v/>
      </c>
    </row>
    <row r="12">
      <c r="A12" s="35" t="n">
        <v>2022</v>
      </c>
      <c r="B12" s="35">
        <f>COUNTIFS(SCHD_배당!$A$2:$A$90,A12)</f>
        <v/>
      </c>
      <c r="C12" s="28">
        <f>IF(B12=0,"",SUMIFS(SCHD_배당!$G$2:$G$90,SCHD_배당!$A$2:$A$90,A12))</f>
        <v/>
      </c>
      <c r="D12" s="35">
        <f>IF(B12=0,"",IF(B12&gt;=4,"확정","진행중("&amp;B12&amp;"회)"))</f>
        <v/>
      </c>
      <c r="E12" s="29">
        <f>IF(AND(B12&gt;=4,B11&gt;=4),C12/C11-1,"")</f>
        <v/>
      </c>
      <c r="F12" s="35">
        <f>IF(E12="","",IF(E12&gt;0,IF(F11="",1,F11+1),0))</f>
        <v/>
      </c>
      <c r="G12" s="29">
        <f>IF(AND(B12&gt;0,B12&lt;4),C12/SUMIFS(SCHD_배당!$G$2:$G$90,SCHD_배당!$A$2:$A$90,A11,SCHD_배당!$B$2:$B$90,"&lt;="&amp;B12)-1,"")</f>
        <v/>
      </c>
      <c r="H12" s="32">
        <f>IF(B12=0,"",SUMIFS(SCHD_배당!$N$2:$N$90,SCHD_배당!$A$2:$A$90,A12))</f>
        <v/>
      </c>
      <c r="I12" s="36">
        <f>IF(AND(B12&gt;0,B12&lt;4),(4-B12)*C12/B12,"")</f>
        <v/>
      </c>
      <c r="J12" s="36">
        <f>IF(B12=0,"",C12+IF(I12="",0,I12))</f>
        <v/>
      </c>
      <c r="K12" s="37">
        <f>IF(AND(I12&lt;&gt;"",B11&gt;=4),J12/C11-1,"")</f>
        <v/>
      </c>
      <c r="M12" s="2">
        <f>IF(B12=0,"",TEXT(A12,"0"))</f>
        <v/>
      </c>
      <c r="N12" s="38">
        <f>IF(B12=0,"",C12)</f>
        <v/>
      </c>
      <c r="O12" s="38">
        <f>IF(I12="","",I12)</f>
        <v/>
      </c>
      <c r="P12" s="39">
        <f>IF(E12="","",E12)</f>
        <v/>
      </c>
      <c r="Q12" s="39">
        <f>IF(K12="","",K12)</f>
        <v/>
      </c>
      <c r="R12" s="38">
        <f>IF(B12=0,"",AVERAGEIFS($C$2:$C$21,$B$2:$B$21,"&gt;=4"))</f>
        <v/>
      </c>
      <c r="S12" s="39">
        <f>IF(B12=0,"",AVERAGE($E$2:$E$21))</f>
        <v/>
      </c>
      <c r="T12" s="38">
        <f>IF(B12=0,"",J12)</f>
        <v/>
      </c>
    </row>
    <row r="13">
      <c r="A13" s="35" t="n">
        <v>2023</v>
      </c>
      <c r="B13" s="35">
        <f>COUNTIFS(SCHD_배당!$A$2:$A$90,A13)</f>
        <v/>
      </c>
      <c r="C13" s="28">
        <f>IF(B13=0,"",SUMIFS(SCHD_배당!$G$2:$G$90,SCHD_배당!$A$2:$A$90,A13))</f>
        <v/>
      </c>
      <c r="D13" s="35">
        <f>IF(B13=0,"",IF(B13&gt;=4,"확정","진행중("&amp;B13&amp;"회)"))</f>
        <v/>
      </c>
      <c r="E13" s="29">
        <f>IF(AND(B13&gt;=4,B12&gt;=4),C13/C12-1,"")</f>
        <v/>
      </c>
      <c r="F13" s="35">
        <f>IF(E13="","",IF(E13&gt;0,IF(F12="",1,F12+1),0))</f>
        <v/>
      </c>
      <c r="G13" s="29">
        <f>IF(AND(B13&gt;0,B13&lt;4),C13/SUMIFS(SCHD_배당!$G$2:$G$90,SCHD_배당!$A$2:$A$90,A12,SCHD_배당!$B$2:$B$90,"&lt;="&amp;B13)-1,"")</f>
        <v/>
      </c>
      <c r="H13" s="32">
        <f>IF(B13=0,"",SUMIFS(SCHD_배당!$N$2:$N$90,SCHD_배당!$A$2:$A$90,A13))</f>
        <v/>
      </c>
      <c r="I13" s="36">
        <f>IF(AND(B13&gt;0,B13&lt;4),(4-B13)*C13/B13,"")</f>
        <v/>
      </c>
      <c r="J13" s="36">
        <f>IF(B13=0,"",C13+IF(I13="",0,I13))</f>
        <v/>
      </c>
      <c r="K13" s="37">
        <f>IF(AND(I13&lt;&gt;"",B12&gt;=4),J13/C12-1,"")</f>
        <v/>
      </c>
      <c r="M13" s="2">
        <f>IF(B13=0,"",TEXT(A13,"0"))</f>
        <v/>
      </c>
      <c r="N13" s="38">
        <f>IF(B13=0,"",C13)</f>
        <v/>
      </c>
      <c r="O13" s="38">
        <f>IF(I13="","",I13)</f>
        <v/>
      </c>
      <c r="P13" s="39">
        <f>IF(E13="","",E13)</f>
        <v/>
      </c>
      <c r="Q13" s="39">
        <f>IF(K13="","",K13)</f>
        <v/>
      </c>
      <c r="R13" s="38">
        <f>IF(B13=0,"",AVERAGEIFS($C$2:$C$21,$B$2:$B$21,"&gt;=4"))</f>
        <v/>
      </c>
      <c r="S13" s="39">
        <f>IF(B13=0,"",AVERAGE($E$2:$E$21))</f>
        <v/>
      </c>
      <c r="T13" s="38">
        <f>IF(B13=0,"",J13)</f>
        <v/>
      </c>
    </row>
    <row r="14">
      <c r="A14" s="35" t="n">
        <v>2024</v>
      </c>
      <c r="B14" s="35">
        <f>COUNTIFS(SCHD_배당!$A$2:$A$90,A14)</f>
        <v/>
      </c>
      <c r="C14" s="28">
        <f>IF(B14=0,"",SUMIFS(SCHD_배당!$G$2:$G$90,SCHD_배당!$A$2:$A$90,A14))</f>
        <v/>
      </c>
      <c r="D14" s="35">
        <f>IF(B14=0,"",IF(B14&gt;=4,"확정","진행중("&amp;B14&amp;"회)"))</f>
        <v/>
      </c>
      <c r="E14" s="29">
        <f>IF(AND(B14&gt;=4,B13&gt;=4),C14/C13-1,"")</f>
        <v/>
      </c>
      <c r="F14" s="35">
        <f>IF(E14="","",IF(E14&gt;0,IF(F13="",1,F13+1),0))</f>
        <v/>
      </c>
      <c r="G14" s="29">
        <f>IF(AND(B14&gt;0,B14&lt;4),C14/SUMIFS(SCHD_배당!$G$2:$G$90,SCHD_배당!$A$2:$A$90,A13,SCHD_배당!$B$2:$B$90,"&lt;="&amp;B14)-1,"")</f>
        <v/>
      </c>
      <c r="H14" s="32">
        <f>IF(B14=0,"",SUMIFS(SCHD_배당!$N$2:$N$90,SCHD_배당!$A$2:$A$90,A14))</f>
        <v/>
      </c>
      <c r="I14" s="36">
        <f>IF(AND(B14&gt;0,B14&lt;4),(4-B14)*C14/B14,"")</f>
        <v/>
      </c>
      <c r="J14" s="36">
        <f>IF(B14=0,"",C14+IF(I14="",0,I14))</f>
        <v/>
      </c>
      <c r="K14" s="37">
        <f>IF(AND(I14&lt;&gt;"",B13&gt;=4),J14/C13-1,"")</f>
        <v/>
      </c>
      <c r="M14" s="2">
        <f>IF(B14=0,"",TEXT(A14,"0"))</f>
        <v/>
      </c>
      <c r="N14" s="38">
        <f>IF(B14=0,"",C14)</f>
        <v/>
      </c>
      <c r="O14" s="38">
        <f>IF(I14="","",I14)</f>
        <v/>
      </c>
      <c r="P14" s="39">
        <f>IF(E14="","",E14)</f>
        <v/>
      </c>
      <c r="Q14" s="39">
        <f>IF(K14="","",K14)</f>
        <v/>
      </c>
      <c r="R14" s="38">
        <f>IF(B14=0,"",AVERAGEIFS($C$2:$C$21,$B$2:$B$21,"&gt;=4"))</f>
        <v/>
      </c>
      <c r="S14" s="39">
        <f>IF(B14=0,"",AVERAGE($E$2:$E$21))</f>
        <v/>
      </c>
      <c r="T14" s="38">
        <f>IF(B14=0,"",J14)</f>
        <v/>
      </c>
    </row>
    <row r="15">
      <c r="A15" s="35" t="n">
        <v>2025</v>
      </c>
      <c r="B15" s="35">
        <f>COUNTIFS(SCHD_배당!$A$2:$A$90,A15)</f>
        <v/>
      </c>
      <c r="C15" s="28">
        <f>IF(B15=0,"",SUMIFS(SCHD_배당!$G$2:$G$90,SCHD_배당!$A$2:$A$90,A15))</f>
        <v/>
      </c>
      <c r="D15" s="35">
        <f>IF(B15=0,"",IF(B15&gt;=4,"확정","진행중("&amp;B15&amp;"회)"))</f>
        <v/>
      </c>
      <c r="E15" s="29">
        <f>IF(AND(B15&gt;=4,B14&gt;=4),C15/C14-1,"")</f>
        <v/>
      </c>
      <c r="F15" s="35">
        <f>IF(E15="","",IF(E15&gt;0,IF(F14="",1,F14+1),0))</f>
        <v/>
      </c>
      <c r="G15" s="29">
        <f>IF(AND(B15&gt;0,B15&lt;4),C15/SUMIFS(SCHD_배당!$G$2:$G$90,SCHD_배당!$A$2:$A$90,A14,SCHD_배당!$B$2:$B$90,"&lt;="&amp;B15)-1,"")</f>
        <v/>
      </c>
      <c r="H15" s="32">
        <f>IF(B15=0,"",SUMIFS(SCHD_배당!$N$2:$N$90,SCHD_배당!$A$2:$A$90,A15))</f>
        <v/>
      </c>
      <c r="I15" s="36">
        <f>IF(AND(B15&gt;0,B15&lt;4),(4-B15)*C15/B15,"")</f>
        <v/>
      </c>
      <c r="J15" s="36">
        <f>IF(B15=0,"",C15+IF(I15="",0,I15))</f>
        <v/>
      </c>
      <c r="K15" s="37">
        <f>IF(AND(I15&lt;&gt;"",B14&gt;=4),J15/C14-1,"")</f>
        <v/>
      </c>
      <c r="M15" s="2">
        <f>IF(B15=0,"",TEXT(A15,"0"))</f>
        <v/>
      </c>
      <c r="N15" s="38">
        <f>IF(B15=0,"",C15)</f>
        <v/>
      </c>
      <c r="O15" s="38">
        <f>IF(I15="","",I15)</f>
        <v/>
      </c>
      <c r="P15" s="39">
        <f>IF(E15="","",E15)</f>
        <v/>
      </c>
      <c r="Q15" s="39">
        <f>IF(K15="","",K15)</f>
        <v/>
      </c>
      <c r="R15" s="38">
        <f>IF(B15=0,"",AVERAGEIFS($C$2:$C$21,$B$2:$B$21,"&gt;=4"))</f>
        <v/>
      </c>
      <c r="S15" s="39">
        <f>IF(B15=0,"",AVERAGE($E$2:$E$21))</f>
        <v/>
      </c>
      <c r="T15" s="38">
        <f>IF(B15=0,"",J15)</f>
        <v/>
      </c>
    </row>
    <row r="16">
      <c r="A16" s="35" t="n">
        <v>2026</v>
      </c>
      <c r="B16" s="35">
        <f>COUNTIFS(SCHD_배당!$A$2:$A$90,A16)</f>
        <v/>
      </c>
      <c r="C16" s="28">
        <f>IF(B16=0,"",SUMIFS(SCHD_배당!$G$2:$G$90,SCHD_배당!$A$2:$A$90,A16))</f>
        <v/>
      </c>
      <c r="D16" s="35">
        <f>IF(B16=0,"",IF(B16&gt;=4,"확정","진행중("&amp;B16&amp;"회)"))</f>
        <v/>
      </c>
      <c r="E16" s="29">
        <f>IF(AND(B16&gt;=4,B15&gt;=4),C16/C15-1,"")</f>
        <v/>
      </c>
      <c r="F16" s="35">
        <f>IF(E16="","",IF(E16&gt;0,IF(F15="",1,F15+1),0))</f>
        <v/>
      </c>
      <c r="G16" s="29">
        <f>IF(AND(B16&gt;0,B16&lt;4),C16/SUMIFS(SCHD_배당!$G$2:$G$90,SCHD_배당!$A$2:$A$90,A15,SCHD_배당!$B$2:$B$90,"&lt;="&amp;B16)-1,"")</f>
        <v/>
      </c>
      <c r="H16" s="32">
        <f>IF(B16=0,"",SUMIFS(SCHD_배당!$N$2:$N$90,SCHD_배당!$A$2:$A$90,A16))</f>
        <v/>
      </c>
      <c r="I16" s="36">
        <f>IF(AND(B16&gt;0,B16&lt;4),(4-B16)*C16/B16,"")</f>
        <v/>
      </c>
      <c r="J16" s="36">
        <f>IF(B16=0,"",C16+IF(I16="",0,I16))</f>
        <v/>
      </c>
      <c r="K16" s="37">
        <f>IF(AND(I16&lt;&gt;"",B15&gt;=4),J16/C15-1,"")</f>
        <v/>
      </c>
      <c r="M16" s="2">
        <f>IF(B16=0,"",TEXT(A16,"0"))</f>
        <v/>
      </c>
      <c r="N16" s="38">
        <f>IF(B16=0,"",C16)</f>
        <v/>
      </c>
      <c r="O16" s="38">
        <f>IF(I16="","",I16)</f>
        <v/>
      </c>
      <c r="P16" s="39">
        <f>IF(E16="","",E16)</f>
        <v/>
      </c>
      <c r="Q16" s="39">
        <f>IF(K16="","",K16)</f>
        <v/>
      </c>
      <c r="R16" s="38">
        <f>IF(B16=0,"",AVERAGEIFS($C$2:$C$21,$B$2:$B$21,"&gt;=4"))</f>
        <v/>
      </c>
      <c r="S16" s="39">
        <f>IF(B16=0,"",AVERAGE($E$2:$E$21))</f>
        <v/>
      </c>
      <c r="T16" s="38">
        <f>IF(B16=0,"",J16)</f>
        <v/>
      </c>
    </row>
    <row r="17">
      <c r="A17" s="35" t="n">
        <v>2027</v>
      </c>
      <c r="B17" s="35">
        <f>COUNTIFS(SCHD_배당!$A$2:$A$90,A17)</f>
        <v/>
      </c>
      <c r="C17" s="28">
        <f>IF(B17=0,"",SUMIFS(SCHD_배당!$G$2:$G$90,SCHD_배당!$A$2:$A$90,A17))</f>
        <v/>
      </c>
      <c r="D17" s="35">
        <f>IF(B17=0,"",IF(B17&gt;=4,"확정","진행중("&amp;B17&amp;"회)"))</f>
        <v/>
      </c>
      <c r="E17" s="29">
        <f>IF(AND(B17&gt;=4,B16&gt;=4),C17/C16-1,"")</f>
        <v/>
      </c>
      <c r="F17" s="35">
        <f>IF(E17="","",IF(E17&gt;0,IF(F16="",1,F16+1),0))</f>
        <v/>
      </c>
      <c r="G17" s="29">
        <f>IF(AND(B17&gt;0,B17&lt;4),C17/SUMIFS(SCHD_배당!$G$2:$G$90,SCHD_배당!$A$2:$A$90,A16,SCHD_배당!$B$2:$B$90,"&lt;="&amp;B17)-1,"")</f>
        <v/>
      </c>
      <c r="H17" s="32">
        <f>IF(B17=0,"",SUMIFS(SCHD_배당!$N$2:$N$90,SCHD_배당!$A$2:$A$90,A17))</f>
        <v/>
      </c>
      <c r="I17" s="36">
        <f>IF(AND(B17&gt;0,B17&lt;4),(4-B17)*C17/B17,"")</f>
        <v/>
      </c>
      <c r="J17" s="36">
        <f>IF(B17=0,"",C17+IF(I17="",0,I17))</f>
        <v/>
      </c>
      <c r="K17" s="37">
        <f>IF(AND(I17&lt;&gt;"",B16&gt;=4),J17/C16-1,"")</f>
        <v/>
      </c>
      <c r="M17" s="2">
        <f>IF(B17=0,"",TEXT(A17,"0"))</f>
        <v/>
      </c>
      <c r="N17" s="38">
        <f>IF(B17=0,"",C17)</f>
        <v/>
      </c>
      <c r="O17" s="38">
        <f>IF(I17="","",I17)</f>
        <v/>
      </c>
      <c r="P17" s="39">
        <f>IF(E17="","",E17)</f>
        <v/>
      </c>
      <c r="Q17" s="39">
        <f>IF(K17="","",K17)</f>
        <v/>
      </c>
      <c r="R17" s="38">
        <f>IF(B17=0,"",AVERAGEIFS($C$2:$C$21,$B$2:$B$21,"&gt;=4"))</f>
        <v/>
      </c>
      <c r="S17" s="39">
        <f>IF(B17=0,"",AVERAGE($E$2:$E$21))</f>
        <v/>
      </c>
      <c r="T17" s="38">
        <f>IF(B17=0,"",J17)</f>
        <v/>
      </c>
    </row>
    <row r="18">
      <c r="A18" s="35" t="n">
        <v>2028</v>
      </c>
      <c r="B18" s="35">
        <f>COUNTIFS(SCHD_배당!$A$2:$A$90,A18)</f>
        <v/>
      </c>
      <c r="C18" s="28">
        <f>IF(B18=0,"",SUMIFS(SCHD_배당!$G$2:$G$90,SCHD_배당!$A$2:$A$90,A18))</f>
        <v/>
      </c>
      <c r="D18" s="35">
        <f>IF(B18=0,"",IF(B18&gt;=4,"확정","진행중("&amp;B18&amp;"회)"))</f>
        <v/>
      </c>
      <c r="E18" s="29">
        <f>IF(AND(B18&gt;=4,B17&gt;=4),C18/C17-1,"")</f>
        <v/>
      </c>
      <c r="F18" s="35">
        <f>IF(E18="","",IF(E18&gt;0,IF(F17="",1,F17+1),0))</f>
        <v/>
      </c>
      <c r="G18" s="29">
        <f>IF(AND(B18&gt;0,B18&lt;4),C18/SUMIFS(SCHD_배당!$G$2:$G$90,SCHD_배당!$A$2:$A$90,A17,SCHD_배당!$B$2:$B$90,"&lt;="&amp;B18)-1,"")</f>
        <v/>
      </c>
      <c r="H18" s="32">
        <f>IF(B18=0,"",SUMIFS(SCHD_배당!$N$2:$N$90,SCHD_배당!$A$2:$A$90,A18))</f>
        <v/>
      </c>
      <c r="I18" s="36">
        <f>IF(AND(B18&gt;0,B18&lt;4),(4-B18)*C18/B18,"")</f>
        <v/>
      </c>
      <c r="J18" s="36">
        <f>IF(B18=0,"",C18+IF(I18="",0,I18))</f>
        <v/>
      </c>
      <c r="K18" s="37">
        <f>IF(AND(I18&lt;&gt;"",B17&gt;=4),J18/C17-1,"")</f>
        <v/>
      </c>
      <c r="M18" s="2">
        <f>IF(B18=0,"",TEXT(A18,"0"))</f>
        <v/>
      </c>
      <c r="N18" s="38">
        <f>IF(B18=0,"",C18)</f>
        <v/>
      </c>
      <c r="O18" s="38">
        <f>IF(I18="","",I18)</f>
        <v/>
      </c>
      <c r="P18" s="39">
        <f>IF(E18="","",E18)</f>
        <v/>
      </c>
      <c r="Q18" s="39">
        <f>IF(K18="","",K18)</f>
        <v/>
      </c>
      <c r="R18" s="38">
        <f>IF(B18=0,"",AVERAGEIFS($C$2:$C$21,$B$2:$B$21,"&gt;=4"))</f>
        <v/>
      </c>
      <c r="S18" s="39">
        <f>IF(B18=0,"",AVERAGE($E$2:$E$21))</f>
        <v/>
      </c>
      <c r="T18" s="38">
        <f>IF(B18=0,"",J18)</f>
        <v/>
      </c>
    </row>
    <row r="19">
      <c r="A19" s="35" t="n">
        <v>2029</v>
      </c>
      <c r="B19" s="35">
        <f>COUNTIFS(SCHD_배당!$A$2:$A$90,A19)</f>
        <v/>
      </c>
      <c r="C19" s="28">
        <f>IF(B19=0,"",SUMIFS(SCHD_배당!$G$2:$G$90,SCHD_배당!$A$2:$A$90,A19))</f>
        <v/>
      </c>
      <c r="D19" s="35">
        <f>IF(B19=0,"",IF(B19&gt;=4,"확정","진행중("&amp;B19&amp;"회)"))</f>
        <v/>
      </c>
      <c r="E19" s="29">
        <f>IF(AND(B19&gt;=4,B18&gt;=4),C19/C18-1,"")</f>
        <v/>
      </c>
      <c r="F19" s="35">
        <f>IF(E19="","",IF(E19&gt;0,IF(F18="",1,F18+1),0))</f>
        <v/>
      </c>
      <c r="G19" s="29">
        <f>IF(AND(B19&gt;0,B19&lt;4),C19/SUMIFS(SCHD_배당!$G$2:$G$90,SCHD_배당!$A$2:$A$90,A18,SCHD_배당!$B$2:$B$90,"&lt;="&amp;B19)-1,"")</f>
        <v/>
      </c>
      <c r="H19" s="32">
        <f>IF(B19=0,"",SUMIFS(SCHD_배당!$N$2:$N$90,SCHD_배당!$A$2:$A$90,A19))</f>
        <v/>
      </c>
      <c r="I19" s="36">
        <f>IF(AND(B19&gt;0,B19&lt;4),(4-B19)*C19/B19,"")</f>
        <v/>
      </c>
      <c r="J19" s="36">
        <f>IF(B19=0,"",C19+IF(I19="",0,I19))</f>
        <v/>
      </c>
      <c r="K19" s="37">
        <f>IF(AND(I19&lt;&gt;"",B18&gt;=4),J19/C18-1,"")</f>
        <v/>
      </c>
      <c r="M19" s="2">
        <f>IF(B19=0,"",TEXT(A19,"0"))</f>
        <v/>
      </c>
      <c r="N19" s="38">
        <f>IF(B19=0,"",C19)</f>
        <v/>
      </c>
      <c r="O19" s="38">
        <f>IF(I19="","",I19)</f>
        <v/>
      </c>
      <c r="P19" s="39">
        <f>IF(E19="","",E19)</f>
        <v/>
      </c>
      <c r="Q19" s="39">
        <f>IF(K19="","",K19)</f>
        <v/>
      </c>
      <c r="R19" s="38">
        <f>IF(B19=0,"",AVERAGEIFS($C$2:$C$21,$B$2:$B$21,"&gt;=4"))</f>
        <v/>
      </c>
      <c r="S19" s="39">
        <f>IF(B19=0,"",AVERAGE($E$2:$E$21))</f>
        <v/>
      </c>
      <c r="T19" s="38">
        <f>IF(B19=0,"",J19)</f>
        <v/>
      </c>
    </row>
    <row r="20">
      <c r="A20" s="35" t="n">
        <v>2030</v>
      </c>
      <c r="B20" s="35">
        <f>COUNTIFS(SCHD_배당!$A$2:$A$90,A20)</f>
        <v/>
      </c>
      <c r="C20" s="28">
        <f>IF(B20=0,"",SUMIFS(SCHD_배당!$G$2:$G$90,SCHD_배당!$A$2:$A$90,A20))</f>
        <v/>
      </c>
      <c r="D20" s="35">
        <f>IF(B20=0,"",IF(B20&gt;=4,"확정","진행중("&amp;B20&amp;"회)"))</f>
        <v/>
      </c>
      <c r="E20" s="29">
        <f>IF(AND(B20&gt;=4,B19&gt;=4),C20/C19-1,"")</f>
        <v/>
      </c>
      <c r="F20" s="35">
        <f>IF(E20="","",IF(E20&gt;0,IF(F19="",1,F19+1),0))</f>
        <v/>
      </c>
      <c r="G20" s="29">
        <f>IF(AND(B20&gt;0,B20&lt;4),C20/SUMIFS(SCHD_배당!$G$2:$G$90,SCHD_배당!$A$2:$A$90,A19,SCHD_배당!$B$2:$B$90,"&lt;="&amp;B20)-1,"")</f>
        <v/>
      </c>
      <c r="H20" s="32">
        <f>IF(B20=0,"",SUMIFS(SCHD_배당!$N$2:$N$90,SCHD_배당!$A$2:$A$90,A20))</f>
        <v/>
      </c>
      <c r="I20" s="36">
        <f>IF(AND(B20&gt;0,B20&lt;4),(4-B20)*C20/B20,"")</f>
        <v/>
      </c>
      <c r="J20" s="36">
        <f>IF(B20=0,"",C20+IF(I20="",0,I20))</f>
        <v/>
      </c>
      <c r="K20" s="37">
        <f>IF(AND(I20&lt;&gt;"",B19&gt;=4),J20/C19-1,"")</f>
        <v/>
      </c>
      <c r="M20" s="2">
        <f>IF(B20=0,"",TEXT(A20,"0"))</f>
        <v/>
      </c>
      <c r="N20" s="38">
        <f>IF(B20=0,"",C20)</f>
        <v/>
      </c>
      <c r="O20" s="38">
        <f>IF(I20="","",I20)</f>
        <v/>
      </c>
      <c r="P20" s="39">
        <f>IF(E20="","",E20)</f>
        <v/>
      </c>
      <c r="Q20" s="39">
        <f>IF(K20="","",K20)</f>
        <v/>
      </c>
      <c r="R20" s="38">
        <f>IF(B20=0,"",AVERAGEIFS($C$2:$C$21,$B$2:$B$21,"&gt;=4"))</f>
        <v/>
      </c>
      <c r="S20" s="39">
        <f>IF(B20=0,"",AVERAGE($E$2:$E$21))</f>
        <v/>
      </c>
      <c r="T20" s="38">
        <f>IF(B20=0,"",J20)</f>
        <v/>
      </c>
    </row>
    <row r="21">
      <c r="A21" s="35" t="n">
        <v>2031</v>
      </c>
      <c r="B21" s="35">
        <f>COUNTIFS(SCHD_배당!$A$2:$A$90,A21)</f>
        <v/>
      </c>
      <c r="C21" s="28">
        <f>IF(B21=0,"",SUMIFS(SCHD_배당!$G$2:$G$90,SCHD_배당!$A$2:$A$90,A21))</f>
        <v/>
      </c>
      <c r="D21" s="35">
        <f>IF(B21=0,"",IF(B21&gt;=4,"확정","진행중("&amp;B21&amp;"회)"))</f>
        <v/>
      </c>
      <c r="E21" s="29">
        <f>IF(AND(B21&gt;=4,B20&gt;=4),C21/C20-1,"")</f>
        <v/>
      </c>
      <c r="F21" s="35">
        <f>IF(E21="","",IF(E21&gt;0,IF(F20="",1,F20+1),0))</f>
        <v/>
      </c>
      <c r="G21" s="29">
        <f>IF(AND(B21&gt;0,B21&lt;4),C21/SUMIFS(SCHD_배당!$G$2:$G$90,SCHD_배당!$A$2:$A$90,A20,SCHD_배당!$B$2:$B$90,"&lt;="&amp;B21)-1,"")</f>
        <v/>
      </c>
      <c r="H21" s="32">
        <f>IF(B21=0,"",SUMIFS(SCHD_배당!$N$2:$N$90,SCHD_배당!$A$2:$A$90,A21))</f>
        <v/>
      </c>
      <c r="I21" s="36">
        <f>IF(AND(B21&gt;0,B21&lt;4),(4-B21)*C21/B21,"")</f>
        <v/>
      </c>
      <c r="J21" s="36">
        <f>IF(B21=0,"",C21+IF(I21="",0,I21))</f>
        <v/>
      </c>
      <c r="K21" s="37">
        <f>IF(AND(I21&lt;&gt;"",B20&gt;=4),J21/C20-1,"")</f>
        <v/>
      </c>
      <c r="M21" s="2">
        <f>IF(B21=0,"",TEXT(A21,"0"))</f>
        <v/>
      </c>
      <c r="N21" s="38">
        <f>IF(B21=0,"",C21)</f>
        <v/>
      </c>
      <c r="O21" s="38">
        <f>IF(I21="","",I21)</f>
        <v/>
      </c>
      <c r="P21" s="39">
        <f>IF(E21="","",E21)</f>
        <v/>
      </c>
      <c r="Q21" s="39">
        <f>IF(K21="","",K21)</f>
        <v/>
      </c>
      <c r="R21" s="38">
        <f>IF(B21=0,"",AVERAGEIFS($C$2:$C$21,$B$2:$B$21,"&gt;=4"))</f>
        <v/>
      </c>
      <c r="S21" s="39">
        <f>IF(B21=0,"",AVERAGE($E$2:$E$21))</f>
        <v/>
      </c>
      <c r="T21" s="38">
        <f>IF(B21=0,"",J21)</f>
        <v/>
      </c>
    </row>
    <row r="23">
      <c r="A23" s="3" t="inlineStr">
        <is>
          <t>핵심 지표 (최근 확정연도 기준, 자동)</t>
        </is>
      </c>
    </row>
    <row r="24">
      <c r="A24" s="4" t="inlineStr">
        <is>
          <t>최근 확정연도</t>
        </is>
      </c>
      <c r="B24" s="40">
        <f>_xlfn.MAXIFS($A$2:$A$21,$B$2:$B$21,"&gt;=4")</f>
        <v/>
      </c>
    </row>
    <row r="25">
      <c r="A25" s="4" t="inlineStr">
        <is>
          <t>그해 연간 배당</t>
        </is>
      </c>
      <c r="B25" s="41">
        <f>INDEX($C$2:$C$21,MATCH(B24,$A$2:$A$21,0))</f>
        <v/>
      </c>
    </row>
    <row r="26">
      <c r="A26" s="4" t="inlineStr">
        <is>
          <t>그해 성장률</t>
        </is>
      </c>
      <c r="B26" s="42">
        <f>INDEX($E$2:$E$21,MATCH(B24,$A$2:$A$21,0))</f>
        <v/>
      </c>
    </row>
    <row r="27">
      <c r="A27" s="4" t="inlineStr">
        <is>
          <t>5년 CAGR</t>
        </is>
      </c>
      <c r="B27" s="42">
        <f>(B25/INDEX($C$2:$C$21,MATCH(B24-5,$A$2:$A$21,0)))^(1/5)-1</f>
        <v/>
      </c>
    </row>
    <row r="28">
      <c r="A28" s="4" t="inlineStr">
        <is>
          <t>10년 CAGR</t>
        </is>
      </c>
      <c r="B28" s="42">
        <f>(B25/INDEX($C$2:$C$21,MATCH(B24-10,$A$2:$A$21,0)))^(1/10)-1</f>
        <v/>
      </c>
    </row>
    <row r="29">
      <c r="A29" s="4" t="inlineStr">
        <is>
          <t>10년 평균 성장률(산술)</t>
        </is>
      </c>
      <c r="B29" s="42">
        <f>AVERAGEIFS($E$2:$E$21,$A$2:$A$21,"&gt;"&amp;(B24-10),$A$2:$A$21,"&lt;="&amp;B24)</f>
        <v/>
      </c>
    </row>
    <row r="30">
      <c r="A30" s="4" t="inlineStr">
        <is>
          <t>연속 증가 연수</t>
        </is>
      </c>
      <c r="B30" s="43">
        <f>INDEX($F$2:$F$21,MATCH(B24,$A$2:$A$21,0))</f>
        <v/>
      </c>
    </row>
    <row r="31">
      <c r="A31" s="4" t="inlineStr">
        <is>
          <t>진행 중인 해</t>
        </is>
      </c>
      <c r="B31" s="40">
        <f>MAX(SCHD_배당!$A$2:$A$90)</f>
        <v/>
      </c>
    </row>
    <row r="32">
      <c r="A32" s="4" t="inlineStr">
        <is>
          <t xml:space="preserve">  예상 연간 배당 (남은 분기 = 올해 확정 분기 평균)</t>
        </is>
      </c>
      <c r="B32" s="41">
        <f>IF(INDEX($I$2:$I$21,MATCH(B31,$A$2:$A$21,0))="","",INDEX($J$2:$J$21,MATCH(B31,$A$2:$A$21,0)))</f>
        <v/>
      </c>
    </row>
    <row r="33">
      <c r="A33" s="4" t="inlineStr">
        <is>
          <t xml:space="preserve">  예상 성장률 (남은 분기 = 올해 확정 분기 평균)</t>
        </is>
      </c>
      <c r="B33" s="42">
        <f>IF(B32="","",B32/INDEX($C$2:$C$21,MATCH(B31-1,$A$2:$A$21,0))-1)</f>
        <v/>
      </c>
    </row>
    <row r="34">
      <c r="A34" s="4" t="inlineStr">
        <is>
          <t xml:space="preserve">  예상 연간 배당 (남은 분기 = 확정 분기 평균 ×110%)</t>
        </is>
      </c>
      <c r="B34" s="41">
        <f>IF(B32="","",INDEX($C$2:$C$21,MATCH(B31,$A$2:$A$21,0))+INDEX($I$2:$I$21,MATCH(B31,$A$2:$A$21,0))*1.1)</f>
        <v/>
      </c>
    </row>
    <row r="35">
      <c r="A35" s="4" t="inlineStr">
        <is>
          <t xml:space="preserve">  예상 성장률 (남은 분기 = 확정 분기 평균 ×110%)</t>
        </is>
      </c>
      <c r="B35" s="42">
        <f>IF(B34="","",B34/INDEX($C$2:$C$21,MATCH(B31-1,$A$2:$A$21,0))-1)</f>
        <v/>
      </c>
    </row>
    <row r="36">
      <c r="A36" s="2" t="inlineStr">
        <is>
          <t>※ CAGR = (최근 확정연도 배당 ÷ N년 전 배당)^(1/N) − 1. 산술평균과 다른 숫자입니다.</t>
        </is>
      </c>
    </row>
    <row r="37">
      <c r="A37" s="2" t="inlineStr">
        <is>
          <t>※ 예상치: 진행 중인 해의 남은 분기를 그해 확정 분기 평균으로 채운 단순 계산. 과거엔 4분기가 1·2·3분기 평균보다 높았던 해가 대부분이라, 남은 분기가 확정 분기 평균보다 10% 높다고 가정한 값도 함께 표시</t>
        </is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3" customWidth="1" min="7" max="7"/>
    <col width="8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34" customHeight="1">
      <c r="A1" s="23" t="inlineStr">
        <is>
          <t>연도</t>
        </is>
      </c>
      <c r="B1" s="23" t="inlineStr">
        <is>
          <t>Q1</t>
        </is>
      </c>
      <c r="C1" s="23" t="inlineStr">
        <is>
          <t>Q2</t>
        </is>
      </c>
      <c r="D1" s="23" t="inlineStr">
        <is>
          <t>Q3</t>
        </is>
      </c>
      <c r="E1" s="23" t="inlineStr">
        <is>
          <t>Q4</t>
        </is>
      </c>
      <c r="F1" s="23" t="inlineStr">
        <is>
          <t>연간</t>
        </is>
      </c>
      <c r="G1" s="44" t="inlineStr"/>
      <c r="H1" s="23" t="inlineStr">
        <is>
          <t>연도</t>
        </is>
      </c>
      <c r="I1" s="23" t="inlineStr">
        <is>
          <t>Q1
전년비</t>
        </is>
      </c>
      <c r="J1" s="23" t="inlineStr">
        <is>
          <t>Q2
전년비</t>
        </is>
      </c>
      <c r="K1" s="23" t="inlineStr">
        <is>
          <t>Q3
전년비</t>
        </is>
      </c>
      <c r="L1" s="23" t="inlineStr">
        <is>
          <t>Q4
전년비</t>
        </is>
      </c>
    </row>
    <row r="2">
      <c r="A2" s="35" t="n">
        <v>2012</v>
      </c>
      <c r="B2" s="28">
        <f>IF(COUNTIFS(SCHD_배당!$A$2:$A$90,$A2,SCHD_배당!$B$2:$B$90,1)=0,"",SUMIFS(SCHD_배당!$G$2:$G$90,SCHD_배당!$A$2:$A$90,$A2,SCHD_배당!$B$2:$B$90,1))</f>
        <v/>
      </c>
      <c r="C2" s="28">
        <f>IF(COUNTIFS(SCHD_배당!$A$2:$A$90,$A2,SCHD_배당!$B$2:$B$90,2)=0,"",SUMIFS(SCHD_배당!$G$2:$G$90,SCHD_배당!$A$2:$A$90,$A2,SCHD_배당!$B$2:$B$90,2))</f>
        <v/>
      </c>
      <c r="D2" s="28">
        <f>IF(COUNTIFS(SCHD_배당!$A$2:$A$90,$A2,SCHD_배당!$B$2:$B$90,3)=0,"",SUMIFS(SCHD_배당!$G$2:$G$90,SCHD_배당!$A$2:$A$90,$A2,SCHD_배당!$B$2:$B$90,3))</f>
        <v/>
      </c>
      <c r="E2" s="28">
        <f>IF(COUNTIFS(SCHD_배당!$A$2:$A$90,$A2,SCHD_배당!$B$2:$B$90,4)=0,"",SUMIFS(SCHD_배당!$G$2:$G$90,SCHD_배당!$A$2:$A$90,$A2,SCHD_배당!$B$2:$B$90,4))</f>
        <v/>
      </c>
      <c r="F2" s="28">
        <f>IF(SUM(B2:E2)=0,"",SUM(B2:E2))</f>
        <v/>
      </c>
      <c r="H2" s="35" t="n">
        <v>2012</v>
      </c>
      <c r="I2" s="45" t="n"/>
      <c r="J2" s="45" t="n"/>
      <c r="K2" s="45" t="n"/>
      <c r="L2" s="45" t="n"/>
    </row>
    <row r="3">
      <c r="A3" s="35" t="n">
        <v>2013</v>
      </c>
      <c r="B3" s="28">
        <f>IF(COUNTIFS(SCHD_배당!$A$2:$A$90,$A3,SCHD_배당!$B$2:$B$90,1)=0,"",SUMIFS(SCHD_배당!$G$2:$G$90,SCHD_배당!$A$2:$A$90,$A3,SCHD_배당!$B$2:$B$90,1))</f>
        <v/>
      </c>
      <c r="C3" s="28">
        <f>IF(COUNTIFS(SCHD_배당!$A$2:$A$90,$A3,SCHD_배당!$B$2:$B$90,2)=0,"",SUMIFS(SCHD_배당!$G$2:$G$90,SCHD_배당!$A$2:$A$90,$A3,SCHD_배당!$B$2:$B$90,2))</f>
        <v/>
      </c>
      <c r="D3" s="28">
        <f>IF(COUNTIFS(SCHD_배당!$A$2:$A$90,$A3,SCHD_배당!$B$2:$B$90,3)=0,"",SUMIFS(SCHD_배당!$G$2:$G$90,SCHD_배당!$A$2:$A$90,$A3,SCHD_배당!$B$2:$B$90,3))</f>
        <v/>
      </c>
      <c r="E3" s="28">
        <f>IF(COUNTIFS(SCHD_배당!$A$2:$A$90,$A3,SCHD_배당!$B$2:$B$90,4)=0,"",SUMIFS(SCHD_배당!$G$2:$G$90,SCHD_배당!$A$2:$A$90,$A3,SCHD_배당!$B$2:$B$90,4))</f>
        <v/>
      </c>
      <c r="F3" s="28">
        <f>IF(SUM(B3:E3)=0,"",SUM(B3:E3))</f>
        <v/>
      </c>
      <c r="H3" s="35" t="n">
        <v>2013</v>
      </c>
      <c r="I3" s="29">
        <f>IF(OR(B3="",B2=""),"",B3/B2-1)</f>
        <v/>
      </c>
      <c r="J3" s="29">
        <f>IF(OR(C3="",C2=""),"",C3/C2-1)</f>
        <v/>
      </c>
      <c r="K3" s="29">
        <f>IF(OR(D3="",D2=""),"",D3/D2-1)</f>
        <v/>
      </c>
      <c r="L3" s="29">
        <f>IF(OR(E3="",E2=""),"",E3/E2-1)</f>
        <v/>
      </c>
    </row>
    <row r="4">
      <c r="A4" s="35" t="n">
        <v>2014</v>
      </c>
      <c r="B4" s="28">
        <f>IF(COUNTIFS(SCHD_배당!$A$2:$A$90,$A4,SCHD_배당!$B$2:$B$90,1)=0,"",SUMIFS(SCHD_배당!$G$2:$G$90,SCHD_배당!$A$2:$A$90,$A4,SCHD_배당!$B$2:$B$90,1))</f>
        <v/>
      </c>
      <c r="C4" s="28">
        <f>IF(COUNTIFS(SCHD_배당!$A$2:$A$90,$A4,SCHD_배당!$B$2:$B$90,2)=0,"",SUMIFS(SCHD_배당!$G$2:$G$90,SCHD_배당!$A$2:$A$90,$A4,SCHD_배당!$B$2:$B$90,2))</f>
        <v/>
      </c>
      <c r="D4" s="28">
        <f>IF(COUNTIFS(SCHD_배당!$A$2:$A$90,$A4,SCHD_배당!$B$2:$B$90,3)=0,"",SUMIFS(SCHD_배당!$G$2:$G$90,SCHD_배당!$A$2:$A$90,$A4,SCHD_배당!$B$2:$B$90,3))</f>
        <v/>
      </c>
      <c r="E4" s="28">
        <f>IF(COUNTIFS(SCHD_배당!$A$2:$A$90,$A4,SCHD_배당!$B$2:$B$90,4)=0,"",SUMIFS(SCHD_배당!$G$2:$G$90,SCHD_배당!$A$2:$A$90,$A4,SCHD_배당!$B$2:$B$90,4))</f>
        <v/>
      </c>
      <c r="F4" s="28">
        <f>IF(SUM(B4:E4)=0,"",SUM(B4:E4))</f>
        <v/>
      </c>
      <c r="H4" s="35" t="n">
        <v>2014</v>
      </c>
      <c r="I4" s="29">
        <f>IF(OR(B4="",B3=""),"",B4/B3-1)</f>
        <v/>
      </c>
      <c r="J4" s="29">
        <f>IF(OR(C4="",C3=""),"",C4/C3-1)</f>
        <v/>
      </c>
      <c r="K4" s="29">
        <f>IF(OR(D4="",D3=""),"",D4/D3-1)</f>
        <v/>
      </c>
      <c r="L4" s="29">
        <f>IF(OR(E4="",E3=""),"",E4/E3-1)</f>
        <v/>
      </c>
    </row>
    <row r="5">
      <c r="A5" s="35" t="n">
        <v>2015</v>
      </c>
      <c r="B5" s="28">
        <f>IF(COUNTIFS(SCHD_배당!$A$2:$A$90,$A5,SCHD_배당!$B$2:$B$90,1)=0,"",SUMIFS(SCHD_배당!$G$2:$G$90,SCHD_배당!$A$2:$A$90,$A5,SCHD_배당!$B$2:$B$90,1))</f>
        <v/>
      </c>
      <c r="C5" s="28">
        <f>IF(COUNTIFS(SCHD_배당!$A$2:$A$90,$A5,SCHD_배당!$B$2:$B$90,2)=0,"",SUMIFS(SCHD_배당!$G$2:$G$90,SCHD_배당!$A$2:$A$90,$A5,SCHD_배당!$B$2:$B$90,2))</f>
        <v/>
      </c>
      <c r="D5" s="28">
        <f>IF(COUNTIFS(SCHD_배당!$A$2:$A$90,$A5,SCHD_배당!$B$2:$B$90,3)=0,"",SUMIFS(SCHD_배당!$G$2:$G$90,SCHD_배당!$A$2:$A$90,$A5,SCHD_배당!$B$2:$B$90,3))</f>
        <v/>
      </c>
      <c r="E5" s="28">
        <f>IF(COUNTIFS(SCHD_배당!$A$2:$A$90,$A5,SCHD_배당!$B$2:$B$90,4)=0,"",SUMIFS(SCHD_배당!$G$2:$G$90,SCHD_배당!$A$2:$A$90,$A5,SCHD_배당!$B$2:$B$90,4))</f>
        <v/>
      </c>
      <c r="F5" s="28">
        <f>IF(SUM(B5:E5)=0,"",SUM(B5:E5))</f>
        <v/>
      </c>
      <c r="H5" s="35" t="n">
        <v>2015</v>
      </c>
      <c r="I5" s="29">
        <f>IF(OR(B5="",B4=""),"",B5/B4-1)</f>
        <v/>
      </c>
      <c r="J5" s="29">
        <f>IF(OR(C5="",C4=""),"",C5/C4-1)</f>
        <v/>
      </c>
      <c r="K5" s="29">
        <f>IF(OR(D5="",D4=""),"",D5/D4-1)</f>
        <v/>
      </c>
      <c r="L5" s="29">
        <f>IF(OR(E5="",E4=""),"",E5/E4-1)</f>
        <v/>
      </c>
    </row>
    <row r="6">
      <c r="A6" s="35" t="n">
        <v>2016</v>
      </c>
      <c r="B6" s="28">
        <f>IF(COUNTIFS(SCHD_배당!$A$2:$A$90,$A6,SCHD_배당!$B$2:$B$90,1)=0,"",SUMIFS(SCHD_배당!$G$2:$G$90,SCHD_배당!$A$2:$A$90,$A6,SCHD_배당!$B$2:$B$90,1))</f>
        <v/>
      </c>
      <c r="C6" s="28">
        <f>IF(COUNTIFS(SCHD_배당!$A$2:$A$90,$A6,SCHD_배당!$B$2:$B$90,2)=0,"",SUMIFS(SCHD_배당!$G$2:$G$90,SCHD_배당!$A$2:$A$90,$A6,SCHD_배당!$B$2:$B$90,2))</f>
        <v/>
      </c>
      <c r="D6" s="28">
        <f>IF(COUNTIFS(SCHD_배당!$A$2:$A$90,$A6,SCHD_배당!$B$2:$B$90,3)=0,"",SUMIFS(SCHD_배당!$G$2:$G$90,SCHD_배당!$A$2:$A$90,$A6,SCHD_배당!$B$2:$B$90,3))</f>
        <v/>
      </c>
      <c r="E6" s="28">
        <f>IF(COUNTIFS(SCHD_배당!$A$2:$A$90,$A6,SCHD_배당!$B$2:$B$90,4)=0,"",SUMIFS(SCHD_배당!$G$2:$G$90,SCHD_배당!$A$2:$A$90,$A6,SCHD_배당!$B$2:$B$90,4))</f>
        <v/>
      </c>
      <c r="F6" s="28">
        <f>IF(SUM(B6:E6)=0,"",SUM(B6:E6))</f>
        <v/>
      </c>
      <c r="H6" s="35" t="n">
        <v>2016</v>
      </c>
      <c r="I6" s="29">
        <f>IF(OR(B6="",B5=""),"",B6/B5-1)</f>
        <v/>
      </c>
      <c r="J6" s="29">
        <f>IF(OR(C6="",C5=""),"",C6/C5-1)</f>
        <v/>
      </c>
      <c r="K6" s="29">
        <f>IF(OR(D6="",D5=""),"",D6/D5-1)</f>
        <v/>
      </c>
      <c r="L6" s="29">
        <f>IF(OR(E6="",E5=""),"",E6/E5-1)</f>
        <v/>
      </c>
    </row>
    <row r="7">
      <c r="A7" s="35" t="n">
        <v>2017</v>
      </c>
      <c r="B7" s="28">
        <f>IF(COUNTIFS(SCHD_배당!$A$2:$A$90,$A7,SCHD_배당!$B$2:$B$90,1)=0,"",SUMIFS(SCHD_배당!$G$2:$G$90,SCHD_배당!$A$2:$A$90,$A7,SCHD_배당!$B$2:$B$90,1))</f>
        <v/>
      </c>
      <c r="C7" s="28">
        <f>IF(COUNTIFS(SCHD_배당!$A$2:$A$90,$A7,SCHD_배당!$B$2:$B$90,2)=0,"",SUMIFS(SCHD_배당!$G$2:$G$90,SCHD_배당!$A$2:$A$90,$A7,SCHD_배당!$B$2:$B$90,2))</f>
        <v/>
      </c>
      <c r="D7" s="28">
        <f>IF(COUNTIFS(SCHD_배당!$A$2:$A$90,$A7,SCHD_배당!$B$2:$B$90,3)=0,"",SUMIFS(SCHD_배당!$G$2:$G$90,SCHD_배당!$A$2:$A$90,$A7,SCHD_배당!$B$2:$B$90,3))</f>
        <v/>
      </c>
      <c r="E7" s="28">
        <f>IF(COUNTIFS(SCHD_배당!$A$2:$A$90,$A7,SCHD_배당!$B$2:$B$90,4)=0,"",SUMIFS(SCHD_배당!$G$2:$G$90,SCHD_배당!$A$2:$A$90,$A7,SCHD_배당!$B$2:$B$90,4))</f>
        <v/>
      </c>
      <c r="F7" s="28">
        <f>IF(SUM(B7:E7)=0,"",SUM(B7:E7))</f>
        <v/>
      </c>
      <c r="H7" s="35" t="n">
        <v>2017</v>
      </c>
      <c r="I7" s="29">
        <f>IF(OR(B7="",B6=""),"",B7/B6-1)</f>
        <v/>
      </c>
      <c r="J7" s="29">
        <f>IF(OR(C7="",C6=""),"",C7/C6-1)</f>
        <v/>
      </c>
      <c r="K7" s="29">
        <f>IF(OR(D7="",D6=""),"",D7/D6-1)</f>
        <v/>
      </c>
      <c r="L7" s="29">
        <f>IF(OR(E7="",E6=""),"",E7/E6-1)</f>
        <v/>
      </c>
    </row>
    <row r="8">
      <c r="A8" s="35" t="n">
        <v>2018</v>
      </c>
      <c r="B8" s="28">
        <f>IF(COUNTIFS(SCHD_배당!$A$2:$A$90,$A8,SCHD_배당!$B$2:$B$90,1)=0,"",SUMIFS(SCHD_배당!$G$2:$G$90,SCHD_배당!$A$2:$A$90,$A8,SCHD_배당!$B$2:$B$90,1))</f>
        <v/>
      </c>
      <c r="C8" s="28">
        <f>IF(COUNTIFS(SCHD_배당!$A$2:$A$90,$A8,SCHD_배당!$B$2:$B$90,2)=0,"",SUMIFS(SCHD_배당!$G$2:$G$90,SCHD_배당!$A$2:$A$90,$A8,SCHD_배당!$B$2:$B$90,2))</f>
        <v/>
      </c>
      <c r="D8" s="28">
        <f>IF(COUNTIFS(SCHD_배당!$A$2:$A$90,$A8,SCHD_배당!$B$2:$B$90,3)=0,"",SUMIFS(SCHD_배당!$G$2:$G$90,SCHD_배당!$A$2:$A$90,$A8,SCHD_배당!$B$2:$B$90,3))</f>
        <v/>
      </c>
      <c r="E8" s="28">
        <f>IF(COUNTIFS(SCHD_배당!$A$2:$A$90,$A8,SCHD_배당!$B$2:$B$90,4)=0,"",SUMIFS(SCHD_배당!$G$2:$G$90,SCHD_배당!$A$2:$A$90,$A8,SCHD_배당!$B$2:$B$90,4))</f>
        <v/>
      </c>
      <c r="F8" s="28">
        <f>IF(SUM(B8:E8)=0,"",SUM(B8:E8))</f>
        <v/>
      </c>
      <c r="H8" s="35" t="n">
        <v>2018</v>
      </c>
      <c r="I8" s="29">
        <f>IF(OR(B8="",B7=""),"",B8/B7-1)</f>
        <v/>
      </c>
      <c r="J8" s="29">
        <f>IF(OR(C8="",C7=""),"",C8/C7-1)</f>
        <v/>
      </c>
      <c r="K8" s="29">
        <f>IF(OR(D8="",D7=""),"",D8/D7-1)</f>
        <v/>
      </c>
      <c r="L8" s="29">
        <f>IF(OR(E8="",E7=""),"",E8/E7-1)</f>
        <v/>
      </c>
    </row>
    <row r="9">
      <c r="A9" s="35" t="n">
        <v>2019</v>
      </c>
      <c r="B9" s="28">
        <f>IF(COUNTIFS(SCHD_배당!$A$2:$A$90,$A9,SCHD_배당!$B$2:$B$90,1)=0,"",SUMIFS(SCHD_배당!$G$2:$G$90,SCHD_배당!$A$2:$A$90,$A9,SCHD_배당!$B$2:$B$90,1))</f>
        <v/>
      </c>
      <c r="C9" s="28">
        <f>IF(COUNTIFS(SCHD_배당!$A$2:$A$90,$A9,SCHD_배당!$B$2:$B$90,2)=0,"",SUMIFS(SCHD_배당!$G$2:$G$90,SCHD_배당!$A$2:$A$90,$A9,SCHD_배당!$B$2:$B$90,2))</f>
        <v/>
      </c>
      <c r="D9" s="28">
        <f>IF(COUNTIFS(SCHD_배당!$A$2:$A$90,$A9,SCHD_배당!$B$2:$B$90,3)=0,"",SUMIFS(SCHD_배당!$G$2:$G$90,SCHD_배당!$A$2:$A$90,$A9,SCHD_배당!$B$2:$B$90,3))</f>
        <v/>
      </c>
      <c r="E9" s="28">
        <f>IF(COUNTIFS(SCHD_배당!$A$2:$A$90,$A9,SCHD_배당!$B$2:$B$90,4)=0,"",SUMIFS(SCHD_배당!$G$2:$G$90,SCHD_배당!$A$2:$A$90,$A9,SCHD_배당!$B$2:$B$90,4))</f>
        <v/>
      </c>
      <c r="F9" s="28">
        <f>IF(SUM(B9:E9)=0,"",SUM(B9:E9))</f>
        <v/>
      </c>
      <c r="H9" s="35" t="n">
        <v>2019</v>
      </c>
      <c r="I9" s="29">
        <f>IF(OR(B9="",B8=""),"",B9/B8-1)</f>
        <v/>
      </c>
      <c r="J9" s="29">
        <f>IF(OR(C9="",C8=""),"",C9/C8-1)</f>
        <v/>
      </c>
      <c r="K9" s="29">
        <f>IF(OR(D9="",D8=""),"",D9/D8-1)</f>
        <v/>
      </c>
      <c r="L9" s="29">
        <f>IF(OR(E9="",E8=""),"",E9/E8-1)</f>
        <v/>
      </c>
    </row>
    <row r="10">
      <c r="A10" s="35" t="n">
        <v>2020</v>
      </c>
      <c r="B10" s="28">
        <f>IF(COUNTIFS(SCHD_배당!$A$2:$A$90,$A10,SCHD_배당!$B$2:$B$90,1)=0,"",SUMIFS(SCHD_배당!$G$2:$G$90,SCHD_배당!$A$2:$A$90,$A10,SCHD_배당!$B$2:$B$90,1))</f>
        <v/>
      </c>
      <c r="C10" s="28">
        <f>IF(COUNTIFS(SCHD_배당!$A$2:$A$90,$A10,SCHD_배당!$B$2:$B$90,2)=0,"",SUMIFS(SCHD_배당!$G$2:$G$90,SCHD_배당!$A$2:$A$90,$A10,SCHD_배당!$B$2:$B$90,2))</f>
        <v/>
      </c>
      <c r="D10" s="28">
        <f>IF(COUNTIFS(SCHD_배당!$A$2:$A$90,$A10,SCHD_배당!$B$2:$B$90,3)=0,"",SUMIFS(SCHD_배당!$G$2:$G$90,SCHD_배당!$A$2:$A$90,$A10,SCHD_배당!$B$2:$B$90,3))</f>
        <v/>
      </c>
      <c r="E10" s="28">
        <f>IF(COUNTIFS(SCHD_배당!$A$2:$A$90,$A10,SCHD_배당!$B$2:$B$90,4)=0,"",SUMIFS(SCHD_배당!$G$2:$G$90,SCHD_배당!$A$2:$A$90,$A10,SCHD_배당!$B$2:$B$90,4))</f>
        <v/>
      </c>
      <c r="F10" s="28">
        <f>IF(SUM(B10:E10)=0,"",SUM(B10:E10))</f>
        <v/>
      </c>
      <c r="H10" s="35" t="n">
        <v>2020</v>
      </c>
      <c r="I10" s="29">
        <f>IF(OR(B10="",B9=""),"",B10/B9-1)</f>
        <v/>
      </c>
      <c r="J10" s="29">
        <f>IF(OR(C10="",C9=""),"",C10/C9-1)</f>
        <v/>
      </c>
      <c r="K10" s="29">
        <f>IF(OR(D10="",D9=""),"",D10/D9-1)</f>
        <v/>
      </c>
      <c r="L10" s="29">
        <f>IF(OR(E10="",E9=""),"",E10/E9-1)</f>
        <v/>
      </c>
    </row>
    <row r="11">
      <c r="A11" s="35" t="n">
        <v>2021</v>
      </c>
      <c r="B11" s="28">
        <f>IF(COUNTIFS(SCHD_배당!$A$2:$A$90,$A11,SCHD_배당!$B$2:$B$90,1)=0,"",SUMIFS(SCHD_배당!$G$2:$G$90,SCHD_배당!$A$2:$A$90,$A11,SCHD_배당!$B$2:$B$90,1))</f>
        <v/>
      </c>
      <c r="C11" s="28">
        <f>IF(COUNTIFS(SCHD_배당!$A$2:$A$90,$A11,SCHD_배당!$B$2:$B$90,2)=0,"",SUMIFS(SCHD_배당!$G$2:$G$90,SCHD_배당!$A$2:$A$90,$A11,SCHD_배당!$B$2:$B$90,2))</f>
        <v/>
      </c>
      <c r="D11" s="28">
        <f>IF(COUNTIFS(SCHD_배당!$A$2:$A$90,$A11,SCHD_배당!$B$2:$B$90,3)=0,"",SUMIFS(SCHD_배당!$G$2:$G$90,SCHD_배당!$A$2:$A$90,$A11,SCHD_배당!$B$2:$B$90,3))</f>
        <v/>
      </c>
      <c r="E11" s="28">
        <f>IF(COUNTIFS(SCHD_배당!$A$2:$A$90,$A11,SCHD_배당!$B$2:$B$90,4)=0,"",SUMIFS(SCHD_배당!$G$2:$G$90,SCHD_배당!$A$2:$A$90,$A11,SCHD_배당!$B$2:$B$90,4))</f>
        <v/>
      </c>
      <c r="F11" s="28">
        <f>IF(SUM(B11:E11)=0,"",SUM(B11:E11))</f>
        <v/>
      </c>
      <c r="H11" s="35" t="n">
        <v>2021</v>
      </c>
      <c r="I11" s="29">
        <f>IF(OR(B11="",B10=""),"",B11/B10-1)</f>
        <v/>
      </c>
      <c r="J11" s="29">
        <f>IF(OR(C11="",C10=""),"",C11/C10-1)</f>
        <v/>
      </c>
      <c r="K11" s="29">
        <f>IF(OR(D11="",D10=""),"",D11/D10-1)</f>
        <v/>
      </c>
      <c r="L11" s="29">
        <f>IF(OR(E11="",E10=""),"",E11/E10-1)</f>
        <v/>
      </c>
    </row>
    <row r="12">
      <c r="A12" s="35" t="n">
        <v>2022</v>
      </c>
      <c r="B12" s="28">
        <f>IF(COUNTIFS(SCHD_배당!$A$2:$A$90,$A12,SCHD_배당!$B$2:$B$90,1)=0,"",SUMIFS(SCHD_배당!$G$2:$G$90,SCHD_배당!$A$2:$A$90,$A12,SCHD_배당!$B$2:$B$90,1))</f>
        <v/>
      </c>
      <c r="C12" s="28">
        <f>IF(COUNTIFS(SCHD_배당!$A$2:$A$90,$A12,SCHD_배당!$B$2:$B$90,2)=0,"",SUMIFS(SCHD_배당!$G$2:$G$90,SCHD_배당!$A$2:$A$90,$A12,SCHD_배당!$B$2:$B$90,2))</f>
        <v/>
      </c>
      <c r="D12" s="28">
        <f>IF(COUNTIFS(SCHD_배당!$A$2:$A$90,$A12,SCHD_배당!$B$2:$B$90,3)=0,"",SUMIFS(SCHD_배당!$G$2:$G$90,SCHD_배당!$A$2:$A$90,$A12,SCHD_배당!$B$2:$B$90,3))</f>
        <v/>
      </c>
      <c r="E12" s="28">
        <f>IF(COUNTIFS(SCHD_배당!$A$2:$A$90,$A12,SCHD_배당!$B$2:$B$90,4)=0,"",SUMIFS(SCHD_배당!$G$2:$G$90,SCHD_배당!$A$2:$A$90,$A12,SCHD_배당!$B$2:$B$90,4))</f>
        <v/>
      </c>
      <c r="F12" s="28">
        <f>IF(SUM(B12:E12)=0,"",SUM(B12:E12))</f>
        <v/>
      </c>
      <c r="H12" s="35" t="n">
        <v>2022</v>
      </c>
      <c r="I12" s="29">
        <f>IF(OR(B12="",B11=""),"",B12/B11-1)</f>
        <v/>
      </c>
      <c r="J12" s="29">
        <f>IF(OR(C12="",C11=""),"",C12/C11-1)</f>
        <v/>
      </c>
      <c r="K12" s="29">
        <f>IF(OR(D12="",D11=""),"",D12/D11-1)</f>
        <v/>
      </c>
      <c r="L12" s="29">
        <f>IF(OR(E12="",E11=""),"",E12/E11-1)</f>
        <v/>
      </c>
    </row>
    <row r="13">
      <c r="A13" s="35" t="n">
        <v>2023</v>
      </c>
      <c r="B13" s="28">
        <f>IF(COUNTIFS(SCHD_배당!$A$2:$A$90,$A13,SCHD_배당!$B$2:$B$90,1)=0,"",SUMIFS(SCHD_배당!$G$2:$G$90,SCHD_배당!$A$2:$A$90,$A13,SCHD_배당!$B$2:$B$90,1))</f>
        <v/>
      </c>
      <c r="C13" s="28">
        <f>IF(COUNTIFS(SCHD_배당!$A$2:$A$90,$A13,SCHD_배당!$B$2:$B$90,2)=0,"",SUMIFS(SCHD_배당!$G$2:$G$90,SCHD_배당!$A$2:$A$90,$A13,SCHD_배당!$B$2:$B$90,2))</f>
        <v/>
      </c>
      <c r="D13" s="28">
        <f>IF(COUNTIFS(SCHD_배당!$A$2:$A$90,$A13,SCHD_배당!$B$2:$B$90,3)=0,"",SUMIFS(SCHD_배당!$G$2:$G$90,SCHD_배당!$A$2:$A$90,$A13,SCHD_배당!$B$2:$B$90,3))</f>
        <v/>
      </c>
      <c r="E13" s="28">
        <f>IF(COUNTIFS(SCHD_배당!$A$2:$A$90,$A13,SCHD_배당!$B$2:$B$90,4)=0,"",SUMIFS(SCHD_배당!$G$2:$G$90,SCHD_배당!$A$2:$A$90,$A13,SCHD_배당!$B$2:$B$90,4))</f>
        <v/>
      </c>
      <c r="F13" s="28">
        <f>IF(SUM(B13:E13)=0,"",SUM(B13:E13))</f>
        <v/>
      </c>
      <c r="H13" s="35" t="n">
        <v>2023</v>
      </c>
      <c r="I13" s="29">
        <f>IF(OR(B13="",B12=""),"",B13/B12-1)</f>
        <v/>
      </c>
      <c r="J13" s="29">
        <f>IF(OR(C13="",C12=""),"",C13/C12-1)</f>
        <v/>
      </c>
      <c r="K13" s="29">
        <f>IF(OR(D13="",D12=""),"",D13/D12-1)</f>
        <v/>
      </c>
      <c r="L13" s="29">
        <f>IF(OR(E13="",E12=""),"",E13/E12-1)</f>
        <v/>
      </c>
    </row>
    <row r="14">
      <c r="A14" s="35" t="n">
        <v>2024</v>
      </c>
      <c r="B14" s="28">
        <f>IF(COUNTIFS(SCHD_배당!$A$2:$A$90,$A14,SCHD_배당!$B$2:$B$90,1)=0,"",SUMIFS(SCHD_배당!$G$2:$G$90,SCHD_배당!$A$2:$A$90,$A14,SCHD_배당!$B$2:$B$90,1))</f>
        <v/>
      </c>
      <c r="C14" s="28">
        <f>IF(COUNTIFS(SCHD_배당!$A$2:$A$90,$A14,SCHD_배당!$B$2:$B$90,2)=0,"",SUMIFS(SCHD_배당!$G$2:$G$90,SCHD_배당!$A$2:$A$90,$A14,SCHD_배당!$B$2:$B$90,2))</f>
        <v/>
      </c>
      <c r="D14" s="28">
        <f>IF(COUNTIFS(SCHD_배당!$A$2:$A$90,$A14,SCHD_배당!$B$2:$B$90,3)=0,"",SUMIFS(SCHD_배당!$G$2:$G$90,SCHD_배당!$A$2:$A$90,$A14,SCHD_배당!$B$2:$B$90,3))</f>
        <v/>
      </c>
      <c r="E14" s="28">
        <f>IF(COUNTIFS(SCHD_배당!$A$2:$A$90,$A14,SCHD_배당!$B$2:$B$90,4)=0,"",SUMIFS(SCHD_배당!$G$2:$G$90,SCHD_배당!$A$2:$A$90,$A14,SCHD_배당!$B$2:$B$90,4))</f>
        <v/>
      </c>
      <c r="F14" s="28">
        <f>IF(SUM(B14:E14)=0,"",SUM(B14:E14))</f>
        <v/>
      </c>
      <c r="H14" s="35" t="n">
        <v>2024</v>
      </c>
      <c r="I14" s="29">
        <f>IF(OR(B14="",B13=""),"",B14/B13-1)</f>
        <v/>
      </c>
      <c r="J14" s="29">
        <f>IF(OR(C14="",C13=""),"",C14/C13-1)</f>
        <v/>
      </c>
      <c r="K14" s="29">
        <f>IF(OR(D14="",D13=""),"",D14/D13-1)</f>
        <v/>
      </c>
      <c r="L14" s="29">
        <f>IF(OR(E14="",E13=""),"",E14/E13-1)</f>
        <v/>
      </c>
    </row>
    <row r="15">
      <c r="A15" s="35" t="n">
        <v>2025</v>
      </c>
      <c r="B15" s="28">
        <f>IF(COUNTIFS(SCHD_배당!$A$2:$A$90,$A15,SCHD_배당!$B$2:$B$90,1)=0,"",SUMIFS(SCHD_배당!$G$2:$G$90,SCHD_배당!$A$2:$A$90,$A15,SCHD_배당!$B$2:$B$90,1))</f>
        <v/>
      </c>
      <c r="C15" s="28">
        <f>IF(COUNTIFS(SCHD_배당!$A$2:$A$90,$A15,SCHD_배당!$B$2:$B$90,2)=0,"",SUMIFS(SCHD_배당!$G$2:$G$90,SCHD_배당!$A$2:$A$90,$A15,SCHD_배당!$B$2:$B$90,2))</f>
        <v/>
      </c>
      <c r="D15" s="28">
        <f>IF(COUNTIFS(SCHD_배당!$A$2:$A$90,$A15,SCHD_배당!$B$2:$B$90,3)=0,"",SUMIFS(SCHD_배당!$G$2:$G$90,SCHD_배당!$A$2:$A$90,$A15,SCHD_배당!$B$2:$B$90,3))</f>
        <v/>
      </c>
      <c r="E15" s="28">
        <f>IF(COUNTIFS(SCHD_배당!$A$2:$A$90,$A15,SCHD_배당!$B$2:$B$90,4)=0,"",SUMIFS(SCHD_배당!$G$2:$G$90,SCHD_배당!$A$2:$A$90,$A15,SCHD_배당!$B$2:$B$90,4))</f>
        <v/>
      </c>
      <c r="F15" s="28">
        <f>IF(SUM(B15:E15)=0,"",SUM(B15:E15))</f>
        <v/>
      </c>
      <c r="H15" s="35" t="n">
        <v>2025</v>
      </c>
      <c r="I15" s="29">
        <f>IF(OR(B15="",B14=""),"",B15/B14-1)</f>
        <v/>
      </c>
      <c r="J15" s="29">
        <f>IF(OR(C15="",C14=""),"",C15/C14-1)</f>
        <v/>
      </c>
      <c r="K15" s="29">
        <f>IF(OR(D15="",D14=""),"",D15/D14-1)</f>
        <v/>
      </c>
      <c r="L15" s="29">
        <f>IF(OR(E15="",E14=""),"",E15/E14-1)</f>
        <v/>
      </c>
    </row>
    <row r="16">
      <c r="A16" s="35" t="n">
        <v>2026</v>
      </c>
      <c r="B16" s="28">
        <f>IF(COUNTIFS(SCHD_배당!$A$2:$A$90,$A16,SCHD_배당!$B$2:$B$90,1)=0,"",SUMIFS(SCHD_배당!$G$2:$G$90,SCHD_배당!$A$2:$A$90,$A16,SCHD_배당!$B$2:$B$90,1))</f>
        <v/>
      </c>
      <c r="C16" s="28">
        <f>IF(COUNTIFS(SCHD_배당!$A$2:$A$90,$A16,SCHD_배당!$B$2:$B$90,2)=0,"",SUMIFS(SCHD_배당!$G$2:$G$90,SCHD_배당!$A$2:$A$90,$A16,SCHD_배당!$B$2:$B$90,2))</f>
        <v/>
      </c>
      <c r="D16" s="28">
        <f>IF(COUNTIFS(SCHD_배당!$A$2:$A$90,$A16,SCHD_배당!$B$2:$B$90,3)=0,"",SUMIFS(SCHD_배당!$G$2:$G$90,SCHD_배당!$A$2:$A$90,$A16,SCHD_배당!$B$2:$B$90,3))</f>
        <v/>
      </c>
      <c r="E16" s="28">
        <f>IF(COUNTIFS(SCHD_배당!$A$2:$A$90,$A16,SCHD_배당!$B$2:$B$90,4)=0,"",SUMIFS(SCHD_배당!$G$2:$G$90,SCHD_배당!$A$2:$A$90,$A16,SCHD_배당!$B$2:$B$90,4))</f>
        <v/>
      </c>
      <c r="F16" s="28">
        <f>IF(SUM(B16:E16)=0,"",SUM(B16:E16))</f>
        <v/>
      </c>
      <c r="H16" s="35" t="n">
        <v>2026</v>
      </c>
      <c r="I16" s="29">
        <f>IF(OR(B16="",B15=""),"",B16/B15-1)</f>
        <v/>
      </c>
      <c r="J16" s="29">
        <f>IF(OR(C16="",C15=""),"",C16/C15-1)</f>
        <v/>
      </c>
      <c r="K16" s="29">
        <f>IF(OR(D16="",D15=""),"",D16/D15-1)</f>
        <v/>
      </c>
      <c r="L16" s="29">
        <f>IF(OR(E16="",E15=""),"",E16/E15-1)</f>
        <v/>
      </c>
    </row>
    <row r="17">
      <c r="A17" s="35" t="n">
        <v>2027</v>
      </c>
      <c r="B17" s="28">
        <f>IF(COUNTIFS(SCHD_배당!$A$2:$A$90,$A17,SCHD_배당!$B$2:$B$90,1)=0,"",SUMIFS(SCHD_배당!$G$2:$G$90,SCHD_배당!$A$2:$A$90,$A17,SCHD_배당!$B$2:$B$90,1))</f>
        <v/>
      </c>
      <c r="C17" s="28">
        <f>IF(COUNTIFS(SCHD_배당!$A$2:$A$90,$A17,SCHD_배당!$B$2:$B$90,2)=0,"",SUMIFS(SCHD_배당!$G$2:$G$90,SCHD_배당!$A$2:$A$90,$A17,SCHD_배당!$B$2:$B$90,2))</f>
        <v/>
      </c>
      <c r="D17" s="28">
        <f>IF(COUNTIFS(SCHD_배당!$A$2:$A$90,$A17,SCHD_배당!$B$2:$B$90,3)=0,"",SUMIFS(SCHD_배당!$G$2:$G$90,SCHD_배당!$A$2:$A$90,$A17,SCHD_배당!$B$2:$B$90,3))</f>
        <v/>
      </c>
      <c r="E17" s="28">
        <f>IF(COUNTIFS(SCHD_배당!$A$2:$A$90,$A17,SCHD_배당!$B$2:$B$90,4)=0,"",SUMIFS(SCHD_배당!$G$2:$G$90,SCHD_배당!$A$2:$A$90,$A17,SCHD_배당!$B$2:$B$90,4))</f>
        <v/>
      </c>
      <c r="F17" s="28">
        <f>IF(SUM(B17:E17)=0,"",SUM(B17:E17))</f>
        <v/>
      </c>
      <c r="H17" s="35" t="n">
        <v>2027</v>
      </c>
      <c r="I17" s="29">
        <f>IF(OR(B17="",B16=""),"",B17/B16-1)</f>
        <v/>
      </c>
      <c r="J17" s="29">
        <f>IF(OR(C17="",C16=""),"",C17/C16-1)</f>
        <v/>
      </c>
      <c r="K17" s="29">
        <f>IF(OR(D17="",D16=""),"",D17/D16-1)</f>
        <v/>
      </c>
      <c r="L17" s="29">
        <f>IF(OR(E17="",E16=""),"",E17/E16-1)</f>
        <v/>
      </c>
    </row>
    <row r="18">
      <c r="A18" s="35" t="n">
        <v>2028</v>
      </c>
      <c r="B18" s="28">
        <f>IF(COUNTIFS(SCHD_배당!$A$2:$A$90,$A18,SCHD_배당!$B$2:$B$90,1)=0,"",SUMIFS(SCHD_배당!$G$2:$G$90,SCHD_배당!$A$2:$A$90,$A18,SCHD_배당!$B$2:$B$90,1))</f>
        <v/>
      </c>
      <c r="C18" s="28">
        <f>IF(COUNTIFS(SCHD_배당!$A$2:$A$90,$A18,SCHD_배당!$B$2:$B$90,2)=0,"",SUMIFS(SCHD_배당!$G$2:$G$90,SCHD_배당!$A$2:$A$90,$A18,SCHD_배당!$B$2:$B$90,2))</f>
        <v/>
      </c>
      <c r="D18" s="28">
        <f>IF(COUNTIFS(SCHD_배당!$A$2:$A$90,$A18,SCHD_배당!$B$2:$B$90,3)=0,"",SUMIFS(SCHD_배당!$G$2:$G$90,SCHD_배당!$A$2:$A$90,$A18,SCHD_배당!$B$2:$B$90,3))</f>
        <v/>
      </c>
      <c r="E18" s="28">
        <f>IF(COUNTIFS(SCHD_배당!$A$2:$A$90,$A18,SCHD_배당!$B$2:$B$90,4)=0,"",SUMIFS(SCHD_배당!$G$2:$G$90,SCHD_배당!$A$2:$A$90,$A18,SCHD_배당!$B$2:$B$90,4))</f>
        <v/>
      </c>
      <c r="F18" s="28">
        <f>IF(SUM(B18:E18)=0,"",SUM(B18:E18))</f>
        <v/>
      </c>
      <c r="H18" s="35" t="n">
        <v>2028</v>
      </c>
      <c r="I18" s="29">
        <f>IF(OR(B18="",B17=""),"",B18/B17-1)</f>
        <v/>
      </c>
      <c r="J18" s="29">
        <f>IF(OR(C18="",C17=""),"",C18/C17-1)</f>
        <v/>
      </c>
      <c r="K18" s="29">
        <f>IF(OR(D18="",D17=""),"",D18/D17-1)</f>
        <v/>
      </c>
      <c r="L18" s="29">
        <f>IF(OR(E18="",E17=""),"",E18/E17-1)</f>
        <v/>
      </c>
    </row>
    <row r="19">
      <c r="A19" s="35" t="n">
        <v>2029</v>
      </c>
      <c r="B19" s="28">
        <f>IF(COUNTIFS(SCHD_배당!$A$2:$A$90,$A19,SCHD_배당!$B$2:$B$90,1)=0,"",SUMIFS(SCHD_배당!$G$2:$G$90,SCHD_배당!$A$2:$A$90,$A19,SCHD_배당!$B$2:$B$90,1))</f>
        <v/>
      </c>
      <c r="C19" s="28">
        <f>IF(COUNTIFS(SCHD_배당!$A$2:$A$90,$A19,SCHD_배당!$B$2:$B$90,2)=0,"",SUMIFS(SCHD_배당!$G$2:$G$90,SCHD_배당!$A$2:$A$90,$A19,SCHD_배당!$B$2:$B$90,2))</f>
        <v/>
      </c>
      <c r="D19" s="28">
        <f>IF(COUNTIFS(SCHD_배당!$A$2:$A$90,$A19,SCHD_배당!$B$2:$B$90,3)=0,"",SUMIFS(SCHD_배당!$G$2:$G$90,SCHD_배당!$A$2:$A$90,$A19,SCHD_배당!$B$2:$B$90,3))</f>
        <v/>
      </c>
      <c r="E19" s="28">
        <f>IF(COUNTIFS(SCHD_배당!$A$2:$A$90,$A19,SCHD_배당!$B$2:$B$90,4)=0,"",SUMIFS(SCHD_배당!$G$2:$G$90,SCHD_배당!$A$2:$A$90,$A19,SCHD_배당!$B$2:$B$90,4))</f>
        <v/>
      </c>
      <c r="F19" s="28">
        <f>IF(SUM(B19:E19)=0,"",SUM(B19:E19))</f>
        <v/>
      </c>
      <c r="H19" s="35" t="n">
        <v>2029</v>
      </c>
      <c r="I19" s="29">
        <f>IF(OR(B19="",B18=""),"",B19/B18-1)</f>
        <v/>
      </c>
      <c r="J19" s="29">
        <f>IF(OR(C19="",C18=""),"",C19/C18-1)</f>
        <v/>
      </c>
      <c r="K19" s="29">
        <f>IF(OR(D19="",D18=""),"",D19/D18-1)</f>
        <v/>
      </c>
      <c r="L19" s="29">
        <f>IF(OR(E19="",E18=""),"",E19/E18-1)</f>
        <v/>
      </c>
    </row>
    <row r="20">
      <c r="A20" s="35" t="n">
        <v>2030</v>
      </c>
      <c r="B20" s="28">
        <f>IF(COUNTIFS(SCHD_배당!$A$2:$A$90,$A20,SCHD_배당!$B$2:$B$90,1)=0,"",SUMIFS(SCHD_배당!$G$2:$G$90,SCHD_배당!$A$2:$A$90,$A20,SCHD_배당!$B$2:$B$90,1))</f>
        <v/>
      </c>
      <c r="C20" s="28">
        <f>IF(COUNTIFS(SCHD_배당!$A$2:$A$90,$A20,SCHD_배당!$B$2:$B$90,2)=0,"",SUMIFS(SCHD_배당!$G$2:$G$90,SCHD_배당!$A$2:$A$90,$A20,SCHD_배당!$B$2:$B$90,2))</f>
        <v/>
      </c>
      <c r="D20" s="28">
        <f>IF(COUNTIFS(SCHD_배당!$A$2:$A$90,$A20,SCHD_배당!$B$2:$B$90,3)=0,"",SUMIFS(SCHD_배당!$G$2:$G$90,SCHD_배당!$A$2:$A$90,$A20,SCHD_배당!$B$2:$B$90,3))</f>
        <v/>
      </c>
      <c r="E20" s="28">
        <f>IF(COUNTIFS(SCHD_배당!$A$2:$A$90,$A20,SCHD_배당!$B$2:$B$90,4)=0,"",SUMIFS(SCHD_배당!$G$2:$G$90,SCHD_배당!$A$2:$A$90,$A20,SCHD_배당!$B$2:$B$90,4))</f>
        <v/>
      </c>
      <c r="F20" s="28">
        <f>IF(SUM(B20:E20)=0,"",SUM(B20:E20))</f>
        <v/>
      </c>
      <c r="H20" s="35" t="n">
        <v>2030</v>
      </c>
      <c r="I20" s="29">
        <f>IF(OR(B20="",B19=""),"",B20/B19-1)</f>
        <v/>
      </c>
      <c r="J20" s="29">
        <f>IF(OR(C20="",C19=""),"",C20/C19-1)</f>
        <v/>
      </c>
      <c r="K20" s="29">
        <f>IF(OR(D20="",D19=""),"",D20/D19-1)</f>
        <v/>
      </c>
      <c r="L20" s="29">
        <f>IF(OR(E20="",E19=""),"",E20/E19-1)</f>
        <v/>
      </c>
    </row>
    <row r="21">
      <c r="A21" s="35" t="n">
        <v>2031</v>
      </c>
      <c r="B21" s="28">
        <f>IF(COUNTIFS(SCHD_배당!$A$2:$A$90,$A21,SCHD_배당!$B$2:$B$90,1)=0,"",SUMIFS(SCHD_배당!$G$2:$G$90,SCHD_배당!$A$2:$A$90,$A21,SCHD_배당!$B$2:$B$90,1))</f>
        <v/>
      </c>
      <c r="C21" s="28">
        <f>IF(COUNTIFS(SCHD_배당!$A$2:$A$90,$A21,SCHD_배당!$B$2:$B$90,2)=0,"",SUMIFS(SCHD_배당!$G$2:$G$90,SCHD_배당!$A$2:$A$90,$A21,SCHD_배당!$B$2:$B$90,2))</f>
        <v/>
      </c>
      <c r="D21" s="28">
        <f>IF(COUNTIFS(SCHD_배당!$A$2:$A$90,$A21,SCHD_배당!$B$2:$B$90,3)=0,"",SUMIFS(SCHD_배당!$G$2:$G$90,SCHD_배당!$A$2:$A$90,$A21,SCHD_배당!$B$2:$B$90,3))</f>
        <v/>
      </c>
      <c r="E21" s="28">
        <f>IF(COUNTIFS(SCHD_배당!$A$2:$A$90,$A21,SCHD_배당!$B$2:$B$90,4)=0,"",SUMIFS(SCHD_배당!$G$2:$G$90,SCHD_배당!$A$2:$A$90,$A21,SCHD_배당!$B$2:$B$90,4))</f>
        <v/>
      </c>
      <c r="F21" s="28">
        <f>IF(SUM(B21:E21)=0,"",SUM(B21:E21))</f>
        <v/>
      </c>
      <c r="H21" s="35" t="n">
        <v>2031</v>
      </c>
      <c r="I21" s="29">
        <f>IF(OR(B21="",B20=""),"",B21/B20-1)</f>
        <v/>
      </c>
      <c r="J21" s="29">
        <f>IF(OR(C21="",C20=""),"",C21/C20-1)</f>
        <v/>
      </c>
      <c r="K21" s="29">
        <f>IF(OR(D21="",D20=""),"",D21/D20-1)</f>
        <v/>
      </c>
      <c r="L21" s="29">
        <f>IF(OR(E21="",E20=""),"",E21/E20-1)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1" customWidth="1" min="4" max="4"/>
    <col width="9" customWidth="1" min="5" max="5"/>
    <col width="30" customWidth="1" min="6" max="6"/>
  </cols>
  <sheetData>
    <row r="1" ht="34" customHeight="1">
      <c r="A1" s="23" t="inlineStr">
        <is>
          <t>종목코드</t>
        </is>
      </c>
      <c r="B1" s="23" t="inlineStr">
        <is>
          <t>종목명</t>
        </is>
      </c>
      <c r="C1" s="23" t="inlineStr">
        <is>
          <t>기준일</t>
        </is>
      </c>
      <c r="D1" s="23" t="inlineStr">
        <is>
          <t>분배금(원)</t>
        </is>
      </c>
      <c r="E1" s="23" t="inlineStr">
        <is>
          <t>분배율</t>
        </is>
      </c>
      <c r="F1" s="23" t="inlineStr">
        <is>
          <t>비고</t>
        </is>
      </c>
    </row>
    <row r="2">
      <c r="A2" s="46" t="inlineStr">
        <is>
          <t>458730</t>
        </is>
      </c>
      <c r="B2" s="33" t="inlineStr">
        <is>
          <t>TIGER 미국배당다우존스</t>
        </is>
      </c>
      <c r="C2" s="26" t="n">
        <v>45135</v>
      </c>
      <c r="D2" s="47" t="n">
        <v>30</v>
      </c>
      <c r="E2" s="48" t="n">
        <v>0.002898</v>
      </c>
    </row>
    <row r="3">
      <c r="A3" s="46" t="inlineStr">
        <is>
          <t>458730</t>
        </is>
      </c>
      <c r="B3" s="33" t="inlineStr">
        <is>
          <t>TIGER 미국배당다우존스</t>
        </is>
      </c>
      <c r="C3" s="26" t="n">
        <v>45168</v>
      </c>
      <c r="D3" s="47" t="n">
        <v>34</v>
      </c>
      <c r="E3" s="48" t="n">
        <v>0.003258</v>
      </c>
    </row>
    <row r="4">
      <c r="A4" s="46" t="inlineStr">
        <is>
          <t>458730</t>
        </is>
      </c>
      <c r="B4" s="33" t="inlineStr">
        <is>
          <t>TIGER 미국배당다우존스</t>
        </is>
      </c>
      <c r="C4" s="26" t="n">
        <v>45195</v>
      </c>
      <c r="D4" s="47" t="n">
        <v>33</v>
      </c>
      <c r="E4" s="48" t="n">
        <v>0.003217</v>
      </c>
    </row>
    <row r="5">
      <c r="A5" s="46" t="inlineStr">
        <is>
          <t>458730</t>
        </is>
      </c>
      <c r="B5" s="33" t="inlineStr">
        <is>
          <t>TIGER 미국배당다우존스</t>
        </is>
      </c>
      <c r="C5" s="26" t="n">
        <v>45229</v>
      </c>
      <c r="D5" s="47" t="n">
        <v>30</v>
      </c>
      <c r="E5" s="48" t="n">
        <v>0.003025</v>
      </c>
    </row>
    <row r="6">
      <c r="A6" s="46" t="inlineStr">
        <is>
          <t>458730</t>
        </is>
      </c>
      <c r="B6" s="33" t="inlineStr">
        <is>
          <t>TIGER 미국배당다우존스</t>
        </is>
      </c>
      <c r="C6" s="26" t="n">
        <v>45259</v>
      </c>
      <c r="D6" s="47" t="n">
        <v>41</v>
      </c>
      <c r="E6" s="48" t="n">
        <v>0.004153</v>
      </c>
    </row>
    <row r="7">
      <c r="A7" s="46" t="inlineStr">
        <is>
          <t>458730</t>
        </is>
      </c>
      <c r="B7" s="33" t="inlineStr">
        <is>
          <t>TIGER 미국배당다우존스</t>
        </is>
      </c>
      <c r="C7" s="26" t="n">
        <v>45287</v>
      </c>
      <c r="D7" s="47" t="n">
        <v>34</v>
      </c>
      <c r="E7" s="48" t="n">
        <v>0.00322</v>
      </c>
    </row>
    <row r="8">
      <c r="A8" s="46" t="inlineStr">
        <is>
          <t>458730</t>
        </is>
      </c>
      <c r="B8" s="33" t="inlineStr">
        <is>
          <t>TIGER 미국배당다우존스</t>
        </is>
      </c>
      <c r="C8" s="26" t="n">
        <v>45321</v>
      </c>
      <c r="D8" s="47" t="n">
        <v>30</v>
      </c>
      <c r="E8" s="48" t="n">
        <v>0.00272</v>
      </c>
    </row>
    <row r="9">
      <c r="A9" s="46" t="inlineStr">
        <is>
          <t>458730</t>
        </is>
      </c>
      <c r="B9" s="33" t="inlineStr">
        <is>
          <t>TIGER 미국배당다우존스</t>
        </is>
      </c>
      <c r="C9" s="26" t="n">
        <v>45350</v>
      </c>
      <c r="D9" s="47" t="n">
        <v>32</v>
      </c>
      <c r="E9" s="48" t="n">
        <v>0.002904</v>
      </c>
    </row>
    <row r="10">
      <c r="A10" s="46" t="inlineStr">
        <is>
          <t>458730</t>
        </is>
      </c>
      <c r="B10" s="33" t="inlineStr">
        <is>
          <t>TIGER 미국배당다우존스</t>
        </is>
      </c>
      <c r="C10" s="26" t="n">
        <v>45379</v>
      </c>
      <c r="D10" s="47" t="n">
        <v>28</v>
      </c>
      <c r="E10" s="48" t="n">
        <v>0.002454</v>
      </c>
    </row>
    <row r="11">
      <c r="A11" s="46" t="inlineStr">
        <is>
          <t>458730</t>
        </is>
      </c>
      <c r="B11" s="33" t="inlineStr">
        <is>
          <t>TIGER 미국배당다우존스</t>
        </is>
      </c>
      <c r="C11" s="26" t="n">
        <v>45411</v>
      </c>
      <c r="D11" s="47" t="n">
        <v>35</v>
      </c>
      <c r="E11" s="48" t="n">
        <v>0.003067</v>
      </c>
    </row>
    <row r="12">
      <c r="A12" s="46" t="inlineStr">
        <is>
          <t>458730</t>
        </is>
      </c>
      <c r="B12" s="33" t="inlineStr">
        <is>
          <t>TIGER 미국배당다우존스</t>
        </is>
      </c>
      <c r="C12" s="26" t="n">
        <v>45442</v>
      </c>
      <c r="D12" s="47" t="n">
        <v>42</v>
      </c>
      <c r="E12" s="48" t="n">
        <v>0.003726</v>
      </c>
    </row>
    <row r="13">
      <c r="A13" s="46" t="inlineStr">
        <is>
          <t>458730</t>
        </is>
      </c>
      <c r="B13" s="33" t="inlineStr">
        <is>
          <t>TIGER 미국배당다우존스</t>
        </is>
      </c>
      <c r="C13" s="26" t="n">
        <v>45470</v>
      </c>
      <c r="D13" s="47" t="n">
        <v>42</v>
      </c>
      <c r="E13" s="48" t="n">
        <v>0.003625</v>
      </c>
    </row>
    <row r="14">
      <c r="A14" s="46" t="inlineStr">
        <is>
          <t>458730</t>
        </is>
      </c>
      <c r="B14" s="33" t="inlineStr">
        <is>
          <t>TIGER 미국배당다우존스</t>
        </is>
      </c>
      <c r="C14" s="26" t="n">
        <v>45503</v>
      </c>
      <c r="D14" s="47" t="n">
        <v>41</v>
      </c>
      <c r="E14" s="48" t="n">
        <v>0.003367</v>
      </c>
    </row>
    <row r="15">
      <c r="A15" s="46" t="inlineStr">
        <is>
          <t>458730</t>
        </is>
      </c>
      <c r="B15" s="33" t="inlineStr">
        <is>
          <t>TIGER 미국배당다우존스</t>
        </is>
      </c>
      <c r="C15" s="26" t="n">
        <v>45533</v>
      </c>
      <c r="D15" s="47" t="n">
        <v>39</v>
      </c>
      <c r="E15" s="48" t="n">
        <v>0.003277</v>
      </c>
    </row>
    <row r="16">
      <c r="A16" s="46" t="inlineStr">
        <is>
          <t>458730</t>
        </is>
      </c>
      <c r="B16" s="33" t="inlineStr">
        <is>
          <t>TIGER 미국배당다우존스</t>
        </is>
      </c>
      <c r="C16" s="26" t="n">
        <v>45562</v>
      </c>
      <c r="D16" s="47" t="n">
        <v>34</v>
      </c>
      <c r="E16" s="48" t="n">
        <v>0.00287</v>
      </c>
    </row>
    <row r="17">
      <c r="A17" s="46" t="inlineStr">
        <is>
          <t>458730</t>
        </is>
      </c>
      <c r="B17" s="33" t="inlineStr">
        <is>
          <t>TIGER 미국배당다우존스</t>
        </is>
      </c>
      <c r="C17" s="26" t="n">
        <v>45595</v>
      </c>
      <c r="D17" s="47" t="n">
        <v>34</v>
      </c>
      <c r="E17" s="48" t="n">
        <v>0.002708</v>
      </c>
    </row>
    <row r="18">
      <c r="A18" s="46" t="inlineStr">
        <is>
          <t>458730</t>
        </is>
      </c>
      <c r="B18" s="33" t="inlineStr">
        <is>
          <t>TIGER 미국배당다우존스</t>
        </is>
      </c>
      <c r="C18" s="26" t="n">
        <v>45624</v>
      </c>
      <c r="D18" s="47" t="n">
        <v>48</v>
      </c>
      <c r="E18" s="48" t="n">
        <v>0.00366</v>
      </c>
    </row>
    <row r="19">
      <c r="A19" s="46" t="inlineStr">
        <is>
          <t>458730</t>
        </is>
      </c>
      <c r="B19" s="33" t="inlineStr">
        <is>
          <t>TIGER 미국배당다우존스</t>
        </is>
      </c>
      <c r="C19" s="26" t="n">
        <v>45653</v>
      </c>
      <c r="D19" s="47" t="n">
        <v>38</v>
      </c>
      <c r="E19" s="48" t="n">
        <v>0.002933</v>
      </c>
    </row>
    <row r="20">
      <c r="A20" s="46" t="inlineStr">
        <is>
          <t>458730</t>
        </is>
      </c>
      <c r="B20" s="33" t="inlineStr">
        <is>
          <t>TIGER 미국배당다우존스</t>
        </is>
      </c>
      <c r="C20" s="26" t="n">
        <v>45681</v>
      </c>
      <c r="D20" s="47" t="n">
        <v>45</v>
      </c>
      <c r="E20" s="48" t="n">
        <v>0.003507</v>
      </c>
    </row>
    <row r="21">
      <c r="A21" s="46" t="inlineStr">
        <is>
          <t>458730</t>
        </is>
      </c>
      <c r="B21" s="33" t="inlineStr">
        <is>
          <t>TIGER 미국배당다우존스</t>
        </is>
      </c>
      <c r="C21" s="26" t="n">
        <v>45715</v>
      </c>
      <c r="D21" s="47" t="n">
        <v>35</v>
      </c>
      <c r="E21" s="48" t="n">
        <v>0.002704</v>
      </c>
    </row>
    <row r="22">
      <c r="A22" s="46" t="inlineStr">
        <is>
          <t>458730</t>
        </is>
      </c>
      <c r="B22" s="33" t="inlineStr">
        <is>
          <t>TIGER 미국배당다우존스</t>
        </is>
      </c>
      <c r="C22" s="26" t="n">
        <v>45744</v>
      </c>
      <c r="D22" s="47" t="n">
        <v>40</v>
      </c>
      <c r="E22" s="48" t="n">
        <v>0.003073</v>
      </c>
    </row>
    <row r="23">
      <c r="A23" s="46" t="inlineStr">
        <is>
          <t>458730</t>
        </is>
      </c>
      <c r="B23" s="33" t="inlineStr">
        <is>
          <t>TIGER 미국배당다우존스</t>
        </is>
      </c>
      <c r="C23" s="26" t="n">
        <v>45776</v>
      </c>
      <c r="D23" s="47" t="n">
        <v>26</v>
      </c>
      <c r="E23" s="48" t="n">
        <v>0.002208</v>
      </c>
    </row>
    <row r="24">
      <c r="A24" s="46" t="inlineStr">
        <is>
          <t>458730</t>
        </is>
      </c>
      <c r="B24" s="33" t="inlineStr">
        <is>
          <t>TIGER 미국배당다우존스</t>
        </is>
      </c>
      <c r="C24" s="26" t="n">
        <v>45806</v>
      </c>
      <c r="D24" s="47" t="n">
        <v>39</v>
      </c>
      <c r="E24" s="48" t="n">
        <v>0.0034</v>
      </c>
    </row>
    <row r="25">
      <c r="A25" s="46" t="inlineStr">
        <is>
          <t>458730</t>
        </is>
      </c>
      <c r="B25" s="33" t="inlineStr">
        <is>
          <t>TIGER 미국배당다우존스</t>
        </is>
      </c>
      <c r="C25" s="26" t="n">
        <v>45835</v>
      </c>
      <c r="D25" s="47" t="n">
        <v>34</v>
      </c>
      <c r="E25" s="48" t="n">
        <v>0.002976</v>
      </c>
    </row>
    <row r="26">
      <c r="A26" s="46" t="inlineStr">
        <is>
          <t>458730</t>
        </is>
      </c>
      <c r="B26" s="33" t="inlineStr">
        <is>
          <t>TIGER 미국배당다우존스</t>
        </is>
      </c>
      <c r="C26" s="26" t="n">
        <v>45868</v>
      </c>
      <c r="D26" s="47" t="n">
        <v>30</v>
      </c>
      <c r="E26" s="48" t="n">
        <v>0.002489</v>
      </c>
    </row>
    <row r="27">
      <c r="A27" s="46" t="inlineStr">
        <is>
          <t>458730</t>
        </is>
      </c>
      <c r="B27" s="33" t="inlineStr">
        <is>
          <t>TIGER 미국배당다우존스</t>
        </is>
      </c>
      <c r="C27" s="26" t="n">
        <v>45897</v>
      </c>
      <c r="D27" s="47" t="n">
        <v>35</v>
      </c>
      <c r="E27" s="48" t="n">
        <v>0.002846</v>
      </c>
    </row>
    <row r="28">
      <c r="A28" s="46" t="inlineStr">
        <is>
          <t>458730</t>
        </is>
      </c>
      <c r="B28" s="33" t="inlineStr">
        <is>
          <t>TIGER 미국배당다우존스</t>
        </is>
      </c>
      <c r="C28" s="26" t="n">
        <v>45929</v>
      </c>
      <c r="D28" s="47" t="n">
        <v>38</v>
      </c>
      <c r="E28" s="48" t="n">
        <v>0.003126</v>
      </c>
    </row>
    <row r="29">
      <c r="A29" s="46" t="inlineStr">
        <is>
          <t>458730</t>
        </is>
      </c>
      <c r="B29" s="33" t="inlineStr">
        <is>
          <t>TIGER 미국배당다우존스</t>
        </is>
      </c>
      <c r="C29" s="26" t="n">
        <v>45960</v>
      </c>
      <c r="D29" s="47" t="n">
        <v>30</v>
      </c>
      <c r="E29" s="48" t="n">
        <v>0.002446</v>
      </c>
    </row>
    <row r="30">
      <c r="A30" s="46" t="inlineStr">
        <is>
          <t>458730</t>
        </is>
      </c>
      <c r="B30" s="33" t="inlineStr">
        <is>
          <t>TIGER 미국배당다우존스</t>
        </is>
      </c>
      <c r="C30" s="26" t="n">
        <v>45988</v>
      </c>
      <c r="D30" s="47" t="n">
        <v>38</v>
      </c>
      <c r="E30" s="48" t="n">
        <v>0.002998</v>
      </c>
    </row>
    <row r="31">
      <c r="A31" s="46" t="inlineStr">
        <is>
          <t>458730</t>
        </is>
      </c>
      <c r="B31" s="33" t="inlineStr">
        <is>
          <t>TIGER 미국배당다우존스</t>
        </is>
      </c>
      <c r="C31" s="26" t="n">
        <v>46020</v>
      </c>
      <c r="D31" s="47" t="n">
        <v>40</v>
      </c>
      <c r="E31" s="48" t="n">
        <v>0.003132</v>
      </c>
    </row>
    <row r="32">
      <c r="A32" s="46" t="inlineStr">
        <is>
          <t>458730</t>
        </is>
      </c>
      <c r="B32" s="33" t="inlineStr">
        <is>
          <t>TIGER 미국배당다우존스</t>
        </is>
      </c>
      <c r="C32" s="26" t="n">
        <v>46051</v>
      </c>
      <c r="D32" s="47" t="n">
        <v>32</v>
      </c>
      <c r="E32" s="48" t="n">
        <v>0.002408</v>
      </c>
    </row>
    <row r="33">
      <c r="A33" s="46" t="inlineStr">
        <is>
          <t>458730</t>
        </is>
      </c>
      <c r="B33" s="33" t="inlineStr">
        <is>
          <t>TIGER 미국배당다우존스</t>
        </is>
      </c>
      <c r="C33" s="26" t="n">
        <v>46079</v>
      </c>
      <c r="D33" s="47" t="n">
        <v>38</v>
      </c>
      <c r="E33" s="48" t="n">
        <v>0.002647</v>
      </c>
    </row>
    <row r="34">
      <c r="A34" s="46" t="inlineStr">
        <is>
          <t>458730</t>
        </is>
      </c>
      <c r="B34" s="33" t="inlineStr">
        <is>
          <t>TIGER 미국배당다우존스</t>
        </is>
      </c>
      <c r="C34" s="26" t="n">
        <v>46111</v>
      </c>
      <c r="D34" s="47" t="n">
        <v>36</v>
      </c>
      <c r="E34" s="48" t="n">
        <v>0.002442</v>
      </c>
    </row>
    <row r="35">
      <c r="A35" s="46" t="inlineStr">
        <is>
          <t>458730</t>
        </is>
      </c>
      <c r="B35" s="33" t="inlineStr">
        <is>
          <t>TIGER 미국배당다우존스</t>
        </is>
      </c>
      <c r="C35" s="26" t="n">
        <v>46141</v>
      </c>
      <c r="D35" s="47" t="n">
        <v>33</v>
      </c>
      <c r="E35" s="48" t="n">
        <v>0.002259</v>
      </c>
    </row>
    <row r="36">
      <c r="A36" s="46" t="inlineStr">
        <is>
          <t>458730</t>
        </is>
      </c>
      <c r="B36" s="33" t="inlineStr">
        <is>
          <t>TIGER 미국배당다우존스</t>
        </is>
      </c>
      <c r="C36" s="26" t="n">
        <v>46170</v>
      </c>
      <c r="D36" s="47" t="n">
        <v>36</v>
      </c>
      <c r="E36" s="48" t="n">
        <v>0.002313</v>
      </c>
    </row>
    <row r="37">
      <c r="A37" s="46" t="inlineStr">
        <is>
          <t>458730</t>
        </is>
      </c>
      <c r="B37" s="33" t="inlineStr">
        <is>
          <t>TIGER 미국배당다우존스</t>
        </is>
      </c>
      <c r="C37" s="26" t="n">
        <v>46202</v>
      </c>
      <c r="D37" s="47" t="n">
        <v>45</v>
      </c>
      <c r="E37" s="48" t="n">
        <v>0.002883</v>
      </c>
    </row>
    <row r="38">
      <c r="A38" s="46" t="inlineStr">
        <is>
          <t>458730</t>
        </is>
      </c>
      <c r="B38" s="33" t="inlineStr">
        <is>
          <t>TIGER 미국배당다우존스</t>
        </is>
      </c>
      <c r="C38" s="26" t="n">
        <v>46233</v>
      </c>
      <c r="D38" s="47" t="n">
        <v>37</v>
      </c>
      <c r="E38" s="48" t="n">
        <v>0.002374</v>
      </c>
    </row>
    <row r="39">
      <c r="A39" s="46" t="inlineStr">
        <is>
          <t>458730</t>
        </is>
      </c>
      <c r="B39" s="33" t="inlineStr">
        <is>
          <t>TIGER 미국배당다우존스</t>
        </is>
      </c>
      <c r="C39" s="26" t="n">
        <v>46262</v>
      </c>
      <c r="D39" s="47" t="n">
        <v>30</v>
      </c>
      <c r="E39" s="48" t="n">
        <v>0.001959</v>
      </c>
    </row>
    <row r="40">
      <c r="A40" s="46" t="inlineStr">
        <is>
          <t>458730</t>
        </is>
      </c>
      <c r="B40" s="33" t="inlineStr">
        <is>
          <t>TIGER 미국배당다우존스</t>
        </is>
      </c>
      <c r="C40" s="26" t="n">
        <v>46294</v>
      </c>
      <c r="D40" s="47" t="n">
        <v>39</v>
      </c>
      <c r="E40" s="48" t="n">
        <v>0.002707</v>
      </c>
    </row>
    <row r="41">
      <c r="A41" s="46" t="inlineStr">
        <is>
          <t>446720</t>
        </is>
      </c>
      <c r="B41" s="33" t="inlineStr">
        <is>
          <t>SOL 미국배당다우존스</t>
        </is>
      </c>
      <c r="C41" s="26" t="n">
        <v>44923</v>
      </c>
      <c r="D41" s="47" t="n">
        <v>36</v>
      </c>
      <c r="E41" s="48" t="n">
        <v>0.003779</v>
      </c>
    </row>
    <row r="42">
      <c r="A42" s="46" t="inlineStr">
        <is>
          <t>446720</t>
        </is>
      </c>
      <c r="B42" s="33" t="inlineStr">
        <is>
          <t>SOL 미국배당다우존스</t>
        </is>
      </c>
      <c r="C42" s="26" t="n">
        <v>44956</v>
      </c>
      <c r="D42" s="47" t="n">
        <v>18</v>
      </c>
      <c r="E42" s="48" t="n">
        <v>0.001938</v>
      </c>
    </row>
    <row r="43">
      <c r="A43" s="46" t="inlineStr">
        <is>
          <t>446720</t>
        </is>
      </c>
      <c r="B43" s="33" t="inlineStr">
        <is>
          <t>SOL 미국배당다우존스</t>
        </is>
      </c>
      <c r="C43" s="26" t="n">
        <v>44984</v>
      </c>
      <c r="D43" s="47" t="n">
        <v>30</v>
      </c>
      <c r="E43" s="48" t="n">
        <v>0.003103</v>
      </c>
    </row>
    <row r="44">
      <c r="A44" s="46" t="inlineStr">
        <is>
          <t>446720</t>
        </is>
      </c>
      <c r="B44" s="33" t="inlineStr">
        <is>
          <t>SOL 미국배당다우존스</t>
        </is>
      </c>
      <c r="C44" s="26" t="n">
        <v>45015</v>
      </c>
      <c r="D44" s="47" t="n">
        <v>29</v>
      </c>
      <c r="E44" s="48" t="n">
        <v>0.003162</v>
      </c>
    </row>
    <row r="45">
      <c r="A45" s="46" t="inlineStr">
        <is>
          <t>446720</t>
        </is>
      </c>
      <c r="B45" s="33" t="inlineStr">
        <is>
          <t>SOL 미국배당다우존스</t>
        </is>
      </c>
      <c r="C45" s="26" t="n">
        <v>45043</v>
      </c>
      <c r="D45" s="47" t="n">
        <v>20</v>
      </c>
      <c r="E45" s="48" t="n">
        <v>0.002106</v>
      </c>
    </row>
    <row r="46">
      <c r="A46" s="46" t="inlineStr">
        <is>
          <t>446720</t>
        </is>
      </c>
      <c r="B46" s="33" t="inlineStr">
        <is>
          <t>SOL 미국배당다우존스</t>
        </is>
      </c>
      <c r="C46" s="26" t="n">
        <v>45076</v>
      </c>
      <c r="D46" s="47" t="n">
        <v>33</v>
      </c>
      <c r="E46" s="48" t="n">
        <v>0.003642</v>
      </c>
    </row>
    <row r="47">
      <c r="A47" s="46" t="inlineStr">
        <is>
          <t>446720</t>
        </is>
      </c>
      <c r="B47" s="33" t="inlineStr">
        <is>
          <t>SOL 미국배당다우존스</t>
        </is>
      </c>
      <c r="C47" s="26" t="n">
        <v>45106</v>
      </c>
      <c r="D47" s="47" t="n">
        <v>32</v>
      </c>
      <c r="E47" s="48" t="n">
        <v>0.003458</v>
      </c>
    </row>
    <row r="48">
      <c r="A48" s="46" t="inlineStr">
        <is>
          <t>446720</t>
        </is>
      </c>
      <c r="B48" s="33" t="inlineStr">
        <is>
          <t>SOL 미국배당다우존스</t>
        </is>
      </c>
      <c r="C48" s="26" t="n">
        <v>45135</v>
      </c>
      <c r="D48" s="47" t="n">
        <v>26</v>
      </c>
      <c r="E48" s="48" t="n">
        <v>0.00274</v>
      </c>
    </row>
    <row r="49">
      <c r="A49" s="46" t="inlineStr">
        <is>
          <t>446720</t>
        </is>
      </c>
      <c r="B49" s="33" t="inlineStr">
        <is>
          <t>SOL 미국배당다우존스</t>
        </is>
      </c>
      <c r="C49" s="26" t="n">
        <v>45168</v>
      </c>
      <c r="D49" s="47" t="n">
        <v>32</v>
      </c>
      <c r="E49" s="48" t="n">
        <v>0.003346</v>
      </c>
    </row>
    <row r="50">
      <c r="A50" s="46" t="inlineStr">
        <is>
          <t>446720</t>
        </is>
      </c>
      <c r="B50" s="33" t="inlineStr">
        <is>
          <t>SOL 미국배당다우존스</t>
        </is>
      </c>
      <c r="C50" s="26" t="n">
        <v>45195</v>
      </c>
      <c r="D50" s="47" t="n">
        <v>27</v>
      </c>
      <c r="E50" s="48" t="n">
        <v>0.002873</v>
      </c>
    </row>
    <row r="51">
      <c r="A51" s="46" t="inlineStr">
        <is>
          <t>446720</t>
        </is>
      </c>
      <c r="B51" s="33" t="inlineStr">
        <is>
          <t>SOL 미국배당다우존스</t>
        </is>
      </c>
      <c r="C51" s="26" t="n">
        <v>45229</v>
      </c>
      <c r="D51" s="47" t="n">
        <v>26</v>
      </c>
      <c r="E51" s="48" t="n">
        <v>0.002864</v>
      </c>
    </row>
    <row r="52">
      <c r="A52" s="46" t="inlineStr">
        <is>
          <t>446720</t>
        </is>
      </c>
      <c r="B52" s="33" t="inlineStr">
        <is>
          <t>SOL 미국배당다우존스</t>
        </is>
      </c>
      <c r="C52" s="26" t="n">
        <v>45259</v>
      </c>
      <c r="D52" s="47" t="n">
        <v>38</v>
      </c>
      <c r="E52" s="48" t="n">
        <v>0.004202</v>
      </c>
    </row>
    <row r="53">
      <c r="A53" s="46" t="inlineStr">
        <is>
          <t>446720</t>
        </is>
      </c>
      <c r="B53" s="33" t="inlineStr">
        <is>
          <t>SOL 미국배당다우존스</t>
        </is>
      </c>
      <c r="C53" s="26" t="n">
        <v>45287</v>
      </c>
      <c r="D53" s="47" t="n">
        <v>30</v>
      </c>
      <c r="E53" s="48" t="n">
        <v>0.0031</v>
      </c>
    </row>
    <row r="54">
      <c r="A54" s="46" t="inlineStr">
        <is>
          <t>446720</t>
        </is>
      </c>
      <c r="B54" s="33" t="inlineStr">
        <is>
          <t>SOL 미국배당다우존스</t>
        </is>
      </c>
      <c r="C54" s="26" t="n">
        <v>45321</v>
      </c>
      <c r="D54" s="47" t="n">
        <v>27</v>
      </c>
      <c r="E54" s="48" t="n">
        <v>0.00267</v>
      </c>
    </row>
    <row r="55">
      <c r="A55" s="46" t="inlineStr">
        <is>
          <t>446720</t>
        </is>
      </c>
      <c r="B55" s="33" t="inlineStr">
        <is>
          <t>SOL 미국배당다우존스</t>
        </is>
      </c>
      <c r="C55" s="26" t="n">
        <v>45350</v>
      </c>
      <c r="D55" s="47" t="n">
        <v>30</v>
      </c>
      <c r="E55" s="48" t="n">
        <v>0.002969</v>
      </c>
    </row>
    <row r="56">
      <c r="A56" s="46" t="inlineStr">
        <is>
          <t>446720</t>
        </is>
      </c>
      <c r="B56" s="33" t="inlineStr">
        <is>
          <t>SOL 미국배당다우존스</t>
        </is>
      </c>
      <c r="C56" s="26" t="n">
        <v>45379</v>
      </c>
      <c r="D56" s="47" t="n">
        <v>24</v>
      </c>
      <c r="E56" s="48" t="n">
        <v>0.002293</v>
      </c>
    </row>
    <row r="57">
      <c r="A57" s="46" t="inlineStr">
        <is>
          <t>446720</t>
        </is>
      </c>
      <c r="B57" s="33" t="inlineStr">
        <is>
          <t>SOL 미국배당다우존스</t>
        </is>
      </c>
      <c r="C57" s="26" t="n">
        <v>45411</v>
      </c>
      <c r="D57" s="47" t="n">
        <v>33</v>
      </c>
      <c r="E57" s="48" t="n">
        <v>0.003152</v>
      </c>
    </row>
    <row r="58">
      <c r="A58" s="46" t="inlineStr">
        <is>
          <t>446720</t>
        </is>
      </c>
      <c r="B58" s="33" t="inlineStr">
        <is>
          <t>SOL 미국배당다우존스</t>
        </is>
      </c>
      <c r="C58" s="26" t="n">
        <v>45442</v>
      </c>
      <c r="D58" s="47" t="n">
        <v>39</v>
      </c>
      <c r="E58" s="48" t="n">
        <v>0.003771</v>
      </c>
    </row>
    <row r="59">
      <c r="A59" s="46" t="inlineStr">
        <is>
          <t>446720</t>
        </is>
      </c>
      <c r="B59" s="33" t="inlineStr">
        <is>
          <t>SOL 미국배당다우존스</t>
        </is>
      </c>
      <c r="C59" s="26" t="n">
        <v>45470</v>
      </c>
      <c r="D59" s="47" t="n">
        <v>38</v>
      </c>
      <c r="E59" s="48" t="n">
        <v>0.003575</v>
      </c>
    </row>
    <row r="60">
      <c r="A60" s="46" t="inlineStr">
        <is>
          <t>446720</t>
        </is>
      </c>
      <c r="B60" s="33" t="inlineStr">
        <is>
          <t>SOL 미국배당다우존스</t>
        </is>
      </c>
      <c r="C60" s="26" t="n">
        <v>45503</v>
      </c>
      <c r="D60" s="47" t="n">
        <v>35</v>
      </c>
      <c r="E60" s="48" t="n">
        <v>0.003132</v>
      </c>
    </row>
    <row r="61">
      <c r="A61" s="46" t="inlineStr">
        <is>
          <t>446720</t>
        </is>
      </c>
      <c r="B61" s="33" t="inlineStr">
        <is>
          <t>SOL 미국배당다우존스</t>
        </is>
      </c>
      <c r="C61" s="26" t="n">
        <v>45533</v>
      </c>
      <c r="D61" s="47" t="n">
        <v>35</v>
      </c>
      <c r="E61" s="48" t="n">
        <v>0.003204</v>
      </c>
    </row>
    <row r="62">
      <c r="A62" s="46" t="inlineStr">
        <is>
          <t>446720</t>
        </is>
      </c>
      <c r="B62" s="33" t="inlineStr">
        <is>
          <t>SOL 미국배당다우존스</t>
        </is>
      </c>
      <c r="C62" s="26" t="n">
        <v>45562</v>
      </c>
      <c r="D62" s="47" t="n">
        <v>30</v>
      </c>
      <c r="E62" s="48" t="n">
        <v>0.002759</v>
      </c>
    </row>
    <row r="63">
      <c r="A63" s="46" t="inlineStr">
        <is>
          <t>446720</t>
        </is>
      </c>
      <c r="B63" s="33" t="inlineStr">
        <is>
          <t>SOL 미국배당다우존스</t>
        </is>
      </c>
      <c r="C63" s="26" t="n">
        <v>45595</v>
      </c>
      <c r="D63" s="47" t="n">
        <v>32</v>
      </c>
      <c r="E63" s="48" t="n">
        <v>0.002775</v>
      </c>
    </row>
    <row r="64">
      <c r="A64" s="46" t="inlineStr">
        <is>
          <t>446720</t>
        </is>
      </c>
      <c r="B64" s="33" t="inlineStr">
        <is>
          <t>SOL 미국배당다우존스</t>
        </is>
      </c>
      <c r="C64" s="26" t="n">
        <v>45624</v>
      </c>
      <c r="D64" s="47" t="n">
        <v>46</v>
      </c>
      <c r="E64" s="48" t="n">
        <v>0.003817</v>
      </c>
    </row>
    <row r="65">
      <c r="A65" s="46" t="inlineStr">
        <is>
          <t>446720</t>
        </is>
      </c>
      <c r="B65" s="33" t="inlineStr">
        <is>
          <t>SOL 미국배당다우존스</t>
        </is>
      </c>
      <c r="C65" s="26" t="n">
        <v>45653</v>
      </c>
      <c r="D65" s="47" t="n">
        <v>35</v>
      </c>
      <c r="E65" s="48" t="n">
        <v>0.002942</v>
      </c>
    </row>
    <row r="66">
      <c r="A66" s="46" t="inlineStr">
        <is>
          <t>446720</t>
        </is>
      </c>
      <c r="B66" s="33" t="inlineStr">
        <is>
          <t>SOL 미국배당다우존스</t>
        </is>
      </c>
      <c r="C66" s="26" t="n">
        <v>45681</v>
      </c>
      <c r="D66" s="47" t="n">
        <v>42</v>
      </c>
      <c r="E66" s="48" t="n">
        <v>0.003564</v>
      </c>
    </row>
    <row r="67">
      <c r="A67" s="46" t="inlineStr">
        <is>
          <t>446720</t>
        </is>
      </c>
      <c r="B67" s="33" t="inlineStr">
        <is>
          <t>SOL 미국배당다우존스</t>
        </is>
      </c>
      <c r="C67" s="26" t="n">
        <v>45715</v>
      </c>
      <c r="D67" s="47" t="n">
        <v>32</v>
      </c>
      <c r="E67" s="48" t="n">
        <v>0.002692</v>
      </c>
    </row>
    <row r="68">
      <c r="A68" s="46" t="inlineStr">
        <is>
          <t>446720</t>
        </is>
      </c>
      <c r="B68" s="33" t="inlineStr">
        <is>
          <t>SOL 미국배당다우존스</t>
        </is>
      </c>
      <c r="C68" s="26" t="n">
        <v>45744</v>
      </c>
      <c r="D68" s="47" t="n">
        <v>38</v>
      </c>
      <c r="E68" s="48" t="n">
        <v>0.003181</v>
      </c>
    </row>
    <row r="69">
      <c r="A69" s="46" t="inlineStr">
        <is>
          <t>446720</t>
        </is>
      </c>
      <c r="B69" s="33" t="inlineStr">
        <is>
          <t>SOL 미국배당다우존스</t>
        </is>
      </c>
      <c r="C69" s="26" t="n">
        <v>45776</v>
      </c>
      <c r="D69" s="47" t="n">
        <v>26</v>
      </c>
      <c r="E69" s="48" t="n">
        <v>0.002409</v>
      </c>
    </row>
    <row r="70">
      <c r="A70" s="46" t="inlineStr">
        <is>
          <t>446720</t>
        </is>
      </c>
      <c r="B70" s="33" t="inlineStr">
        <is>
          <t>SOL 미국배당다우존스</t>
        </is>
      </c>
      <c r="C70" s="26" t="n">
        <v>45806</v>
      </c>
      <c r="D70" s="47" t="n">
        <v>30</v>
      </c>
      <c r="E70" s="48" t="n">
        <v>0.002857</v>
      </c>
    </row>
    <row r="71">
      <c r="A71" s="46" t="inlineStr">
        <is>
          <t>446720</t>
        </is>
      </c>
      <c r="B71" s="33" t="inlineStr">
        <is>
          <t>SOL 미국배당다우존스</t>
        </is>
      </c>
      <c r="C71" s="26" t="n">
        <v>45835</v>
      </c>
      <c r="D71" s="47" t="n">
        <v>33</v>
      </c>
      <c r="E71" s="48" t="n">
        <v>0.00315</v>
      </c>
    </row>
    <row r="72">
      <c r="A72" s="46" t="inlineStr">
        <is>
          <t>446720</t>
        </is>
      </c>
      <c r="B72" s="33" t="inlineStr">
        <is>
          <t>SOL 미국배당다우존스</t>
        </is>
      </c>
      <c r="C72" s="26" t="n">
        <v>45868</v>
      </c>
      <c r="D72" s="47" t="n">
        <v>28</v>
      </c>
      <c r="E72" s="48" t="n">
        <v>0.002532</v>
      </c>
    </row>
    <row r="73">
      <c r="A73" s="46" t="inlineStr">
        <is>
          <t>446720</t>
        </is>
      </c>
      <c r="B73" s="33" t="inlineStr">
        <is>
          <t>SOL 미국배당다우존스</t>
        </is>
      </c>
      <c r="C73" s="26" t="n">
        <v>45897</v>
      </c>
      <c r="D73" s="47" t="n">
        <v>32</v>
      </c>
      <c r="E73" s="48" t="n">
        <v>0.002839</v>
      </c>
    </row>
    <row r="74">
      <c r="A74" s="46" t="inlineStr">
        <is>
          <t>446720</t>
        </is>
      </c>
      <c r="B74" s="33" t="inlineStr">
        <is>
          <t>SOL 미국배당다우존스</t>
        </is>
      </c>
      <c r="C74" s="26" t="n">
        <v>45929</v>
      </c>
      <c r="D74" s="47" t="n">
        <v>35</v>
      </c>
      <c r="E74" s="48" t="n">
        <v>0.00314</v>
      </c>
    </row>
    <row r="75">
      <c r="A75" s="46" t="inlineStr">
        <is>
          <t>446720</t>
        </is>
      </c>
      <c r="B75" s="33" t="inlineStr">
        <is>
          <t>SOL 미국배당다우존스</t>
        </is>
      </c>
      <c r="C75" s="26" t="n">
        <v>45960</v>
      </c>
      <c r="D75" s="47" t="n">
        <v>34</v>
      </c>
      <c r="E75" s="48" t="n">
        <v>0.003026</v>
      </c>
    </row>
    <row r="76">
      <c r="A76" s="46" t="inlineStr">
        <is>
          <t>446720</t>
        </is>
      </c>
      <c r="B76" s="33" t="inlineStr">
        <is>
          <t>SOL 미국배당다우존스</t>
        </is>
      </c>
      <c r="C76" s="26" t="n">
        <v>45988</v>
      </c>
      <c r="D76" s="47" t="n">
        <v>35</v>
      </c>
      <c r="E76" s="48" t="n">
        <v>0.003017</v>
      </c>
    </row>
    <row r="77">
      <c r="A77" s="46" t="inlineStr">
        <is>
          <t>446720</t>
        </is>
      </c>
      <c r="B77" s="33" t="inlineStr">
        <is>
          <t>SOL 미국배당다우존스</t>
        </is>
      </c>
      <c r="C77" s="26" t="n">
        <v>46020</v>
      </c>
      <c r="D77" s="47" t="n">
        <v>37</v>
      </c>
      <c r="E77" s="48" t="n">
        <v>0.003141</v>
      </c>
    </row>
    <row r="78">
      <c r="A78" s="46" t="inlineStr">
        <is>
          <t>446720</t>
        </is>
      </c>
      <c r="B78" s="33" t="inlineStr">
        <is>
          <t>SOL 미국배당다우존스</t>
        </is>
      </c>
      <c r="C78" s="26" t="n">
        <v>46051</v>
      </c>
      <c r="D78" s="47" t="n">
        <v>30</v>
      </c>
      <c r="E78" s="48" t="n">
        <v>0.002463</v>
      </c>
    </row>
    <row r="79">
      <c r="A79" s="46" t="inlineStr">
        <is>
          <t>446720</t>
        </is>
      </c>
      <c r="B79" s="33" t="inlineStr">
        <is>
          <t>SOL 미국배당다우존스</t>
        </is>
      </c>
      <c r="C79" s="26" t="n">
        <v>46079</v>
      </c>
      <c r="D79" s="47" t="n">
        <v>35</v>
      </c>
      <c r="E79" s="48" t="n">
        <v>0.00266</v>
      </c>
    </row>
    <row r="80">
      <c r="A80" s="46" t="inlineStr">
        <is>
          <t>446720</t>
        </is>
      </c>
      <c r="B80" s="33" t="inlineStr">
        <is>
          <t>SOL 미국배당다우존스</t>
        </is>
      </c>
      <c r="C80" s="26" t="n">
        <v>46111</v>
      </c>
      <c r="D80" s="47" t="n">
        <v>33</v>
      </c>
      <c r="E80" s="48" t="n">
        <v>0.00244</v>
      </c>
    </row>
    <row r="81">
      <c r="A81" s="46" t="inlineStr">
        <is>
          <t>446720</t>
        </is>
      </c>
      <c r="B81" s="33" t="inlineStr">
        <is>
          <t>SOL 미국배당다우존스</t>
        </is>
      </c>
      <c r="C81" s="26" t="n">
        <v>46141</v>
      </c>
      <c r="D81" s="47" t="n">
        <v>30</v>
      </c>
      <c r="E81" s="48" t="n">
        <v>0.002241</v>
      </c>
    </row>
    <row r="82">
      <c r="A82" s="46" t="inlineStr">
        <is>
          <t>446720</t>
        </is>
      </c>
      <c r="B82" s="33" t="inlineStr">
        <is>
          <t>SOL 미국배당다우존스</t>
        </is>
      </c>
      <c r="C82" s="26" t="n">
        <v>46170</v>
      </c>
      <c r="D82" s="47" t="n">
        <v>33</v>
      </c>
      <c r="E82" s="48" t="n">
        <v>0.002313</v>
      </c>
    </row>
    <row r="83">
      <c r="A83" s="46" t="inlineStr">
        <is>
          <t>446720</t>
        </is>
      </c>
      <c r="B83" s="33" t="inlineStr">
        <is>
          <t>SOL 미국배당다우존스</t>
        </is>
      </c>
      <c r="C83" s="26" t="n">
        <v>46202</v>
      </c>
      <c r="D83" s="47" t="n">
        <v>42</v>
      </c>
      <c r="E83" s="48" t="n">
        <v>0.002932</v>
      </c>
    </row>
    <row r="84">
      <c r="A84" s="46" t="inlineStr">
        <is>
          <t>446720</t>
        </is>
      </c>
      <c r="B84" s="33" t="inlineStr">
        <is>
          <t>SOL 미국배당다우존스</t>
        </is>
      </c>
      <c r="C84" s="26" t="n">
        <v>46233</v>
      </c>
      <c r="D84" s="47" t="n">
        <v>35</v>
      </c>
      <c r="E84" s="48" t="n">
        <v>0.00245</v>
      </c>
    </row>
    <row r="85">
      <c r="A85" s="46" t="inlineStr">
        <is>
          <t>446720</t>
        </is>
      </c>
      <c r="B85" s="33" t="inlineStr">
        <is>
          <t>SOL 미국배당다우존스</t>
        </is>
      </c>
      <c r="C85" s="26" t="n">
        <v>46262</v>
      </c>
      <c r="D85" s="47" t="n">
        <v>27</v>
      </c>
      <c r="E85" s="48" t="n">
        <v>0.001926</v>
      </c>
    </row>
    <row r="86">
      <c r="A86" s="46" t="inlineStr">
        <is>
          <t>446720</t>
        </is>
      </c>
      <c r="B86" s="33" t="inlineStr">
        <is>
          <t>SOL 미국배당다우존스</t>
        </is>
      </c>
      <c r="C86" s="26" t="n">
        <v>46294</v>
      </c>
      <c r="D86" s="47" t="n">
        <v>37</v>
      </c>
      <c r="E86" s="48" t="n">
        <v>0.0028</v>
      </c>
    </row>
    <row r="87">
      <c r="A87" s="46" t="inlineStr">
        <is>
          <t>402970</t>
        </is>
      </c>
      <c r="B87" s="33" t="inlineStr">
        <is>
          <t>ACE 미국배당다우존스</t>
        </is>
      </c>
      <c r="C87" s="26" t="n">
        <v>44588</v>
      </c>
      <c r="D87" s="47" t="n">
        <v>55</v>
      </c>
      <c r="E87" s="48" t="n">
        <v>0.005337</v>
      </c>
    </row>
    <row r="88">
      <c r="A88" s="46" t="inlineStr">
        <is>
          <t>402970</t>
        </is>
      </c>
      <c r="B88" s="33" t="inlineStr">
        <is>
          <t>ACE 미국배당다우존스</t>
        </is>
      </c>
      <c r="C88" s="26" t="n">
        <v>44679</v>
      </c>
      <c r="D88" s="47" t="n">
        <v>65</v>
      </c>
      <c r="E88" s="48" t="n">
        <v>0.006095000000000001</v>
      </c>
    </row>
    <row r="89">
      <c r="A89" s="46" t="inlineStr">
        <is>
          <t>402970</t>
        </is>
      </c>
      <c r="B89" s="33" t="inlineStr">
        <is>
          <t>ACE 미국배당다우존스</t>
        </is>
      </c>
      <c r="C89" s="26" t="n">
        <v>44770</v>
      </c>
      <c r="D89" s="47" t="n">
        <v>65</v>
      </c>
      <c r="E89" s="48" t="n">
        <v>0.006222</v>
      </c>
    </row>
    <row r="90">
      <c r="A90" s="46" t="inlineStr">
        <is>
          <t>402970</t>
        </is>
      </c>
      <c r="B90" s="33" t="inlineStr">
        <is>
          <t>ACE 미국배당다우존스</t>
        </is>
      </c>
      <c r="C90" s="26" t="n">
        <v>44862</v>
      </c>
      <c r="D90" s="47" t="n">
        <v>105</v>
      </c>
      <c r="E90" s="48" t="n">
        <v>0.009284000000000001</v>
      </c>
    </row>
    <row r="91">
      <c r="A91" s="46" t="inlineStr">
        <is>
          <t>402970</t>
        </is>
      </c>
      <c r="B91" s="33" t="inlineStr">
        <is>
          <t>ACE 미국배당다우존스</t>
        </is>
      </c>
      <c r="C91" s="26" t="n">
        <v>44956</v>
      </c>
      <c r="D91" s="47" t="n">
        <v>85</v>
      </c>
      <c r="E91" s="48" t="n">
        <v>0.008215</v>
      </c>
    </row>
    <row r="92">
      <c r="A92" s="46" t="inlineStr">
        <is>
          <t>402970</t>
        </is>
      </c>
      <c r="B92" s="33" t="inlineStr">
        <is>
          <t>ACE 미국배당다우존스</t>
        </is>
      </c>
      <c r="C92" s="26" t="n">
        <v>45043</v>
      </c>
      <c r="D92" s="47" t="n">
        <v>100</v>
      </c>
      <c r="E92" s="48" t="n">
        <v>0.009443</v>
      </c>
    </row>
    <row r="93">
      <c r="A93" s="46" t="inlineStr">
        <is>
          <t>402970</t>
        </is>
      </c>
      <c r="B93" s="33" t="inlineStr">
        <is>
          <t>ACE 미국배당다우존스</t>
        </is>
      </c>
      <c r="C93" s="26" t="n">
        <v>45135</v>
      </c>
      <c r="D93" s="47" t="n">
        <v>80</v>
      </c>
      <c r="E93" s="48" t="n">
        <v>0.007578000000000001</v>
      </c>
    </row>
    <row r="94">
      <c r="A94" s="46" t="inlineStr">
        <is>
          <t>402970</t>
        </is>
      </c>
      <c r="B94" s="33" t="inlineStr">
        <is>
          <t>ACE 미국배당다우존스</t>
        </is>
      </c>
      <c r="C94" s="26" t="n">
        <v>45168</v>
      </c>
      <c r="D94" s="47" t="n">
        <v>35</v>
      </c>
      <c r="E94" s="48" t="n">
        <v>0.003306</v>
      </c>
    </row>
    <row r="95">
      <c r="A95" s="46" t="inlineStr">
        <is>
          <t>402970</t>
        </is>
      </c>
      <c r="B95" s="33" t="inlineStr">
        <is>
          <t>ACE 미국배당다우존스</t>
        </is>
      </c>
      <c r="C95" s="26" t="n">
        <v>45195</v>
      </c>
      <c r="D95" s="47" t="n">
        <v>45</v>
      </c>
      <c r="E95" s="48" t="n">
        <v>0.004327</v>
      </c>
    </row>
    <row r="96">
      <c r="A96" s="46" t="inlineStr">
        <is>
          <t>402970</t>
        </is>
      </c>
      <c r="B96" s="33" t="inlineStr">
        <is>
          <t>ACE 미국배당다우존스</t>
        </is>
      </c>
      <c r="C96" s="26" t="n">
        <v>45229</v>
      </c>
      <c r="D96" s="47" t="n">
        <v>25</v>
      </c>
      <c r="E96" s="48" t="n">
        <v>0.002493</v>
      </c>
    </row>
    <row r="97">
      <c r="A97" s="46" t="inlineStr">
        <is>
          <t>402970</t>
        </is>
      </c>
      <c r="B97" s="33" t="inlineStr">
        <is>
          <t>ACE 미국배당다우존스</t>
        </is>
      </c>
      <c r="C97" s="26" t="n">
        <v>45259</v>
      </c>
      <c r="D97" s="47" t="n">
        <v>37</v>
      </c>
      <c r="E97" s="48" t="n">
        <v>0.0037</v>
      </c>
    </row>
    <row r="98">
      <c r="A98" s="46" t="inlineStr">
        <is>
          <t>402970</t>
        </is>
      </c>
      <c r="B98" s="33" t="inlineStr">
        <is>
          <t>ACE 미국배당다우존스</t>
        </is>
      </c>
      <c r="C98" s="26" t="n">
        <v>45287</v>
      </c>
      <c r="D98" s="47" t="n">
        <v>45</v>
      </c>
      <c r="E98" s="48" t="n">
        <v>0.004204</v>
      </c>
    </row>
    <row r="99">
      <c r="A99" s="46" t="inlineStr">
        <is>
          <t>402970</t>
        </is>
      </c>
      <c r="B99" s="33" t="inlineStr">
        <is>
          <t>ACE 미국배당다우존스</t>
        </is>
      </c>
      <c r="C99" s="26" t="n">
        <v>45321</v>
      </c>
      <c r="D99" s="47" t="n">
        <v>30</v>
      </c>
      <c r="E99" s="48" t="n">
        <v>0.002685</v>
      </c>
    </row>
    <row r="100">
      <c r="A100" s="46" t="inlineStr">
        <is>
          <t>402970</t>
        </is>
      </c>
      <c r="B100" s="33" t="inlineStr">
        <is>
          <t>ACE 미국배당다우존스</t>
        </is>
      </c>
      <c r="C100" s="26" t="n">
        <v>45350</v>
      </c>
      <c r="D100" s="47" t="n">
        <v>34</v>
      </c>
      <c r="E100" s="48" t="n">
        <v>0.003045</v>
      </c>
    </row>
    <row r="101">
      <c r="A101" s="46" t="inlineStr">
        <is>
          <t>402970</t>
        </is>
      </c>
      <c r="B101" s="33" t="inlineStr">
        <is>
          <t>ACE 미국배당다우존스</t>
        </is>
      </c>
      <c r="C101" s="26" t="n">
        <v>45379</v>
      </c>
      <c r="D101" s="47" t="n">
        <v>44</v>
      </c>
      <c r="E101" s="48" t="n">
        <v>0.003805</v>
      </c>
    </row>
    <row r="102">
      <c r="A102" s="46" t="inlineStr">
        <is>
          <t>402970</t>
        </is>
      </c>
      <c r="B102" s="33" t="inlineStr">
        <is>
          <t>ACE 미국배당다우존스</t>
        </is>
      </c>
      <c r="C102" s="26" t="n">
        <v>45411</v>
      </c>
      <c r="D102" s="47" t="n">
        <v>32</v>
      </c>
      <c r="E102" s="48" t="n">
        <v>0.002771</v>
      </c>
    </row>
    <row r="103">
      <c r="A103" s="46" t="inlineStr">
        <is>
          <t>402970</t>
        </is>
      </c>
      <c r="B103" s="33" t="inlineStr">
        <is>
          <t>ACE 미국배당다우존스</t>
        </is>
      </c>
      <c r="C103" s="26" t="n">
        <v>45442</v>
      </c>
      <c r="D103" s="47" t="n">
        <v>39</v>
      </c>
      <c r="E103" s="48" t="n">
        <v>0.003413</v>
      </c>
    </row>
    <row r="104">
      <c r="A104" s="46" t="inlineStr">
        <is>
          <t>402970</t>
        </is>
      </c>
      <c r="B104" s="33" t="inlineStr">
        <is>
          <t>ACE 미국배당다우존스</t>
        </is>
      </c>
      <c r="C104" s="26" t="n">
        <v>45470</v>
      </c>
      <c r="D104" s="47" t="n">
        <v>44</v>
      </c>
      <c r="E104" s="48" t="n">
        <v>0.003742</v>
      </c>
    </row>
    <row r="105">
      <c r="A105" s="46" t="inlineStr">
        <is>
          <t>402970</t>
        </is>
      </c>
      <c r="B105" s="33" t="inlineStr">
        <is>
          <t>ACE 미국배당다우존스</t>
        </is>
      </c>
      <c r="C105" s="26" t="n">
        <v>45503</v>
      </c>
      <c r="D105" s="47" t="n">
        <v>44</v>
      </c>
      <c r="E105" s="48" t="n">
        <v>0.00356</v>
      </c>
    </row>
    <row r="106">
      <c r="A106" s="46" t="inlineStr">
        <is>
          <t>402970</t>
        </is>
      </c>
      <c r="B106" s="33" t="inlineStr">
        <is>
          <t>ACE 미국배당다우존스</t>
        </is>
      </c>
      <c r="C106" s="26" t="n">
        <v>45547</v>
      </c>
      <c r="D106" s="47" t="n">
        <v>56</v>
      </c>
      <c r="E106" s="48" t="n">
        <v>0.00466</v>
      </c>
    </row>
    <row r="107">
      <c r="A107" s="46" t="inlineStr">
        <is>
          <t>402970</t>
        </is>
      </c>
      <c r="B107" s="33" t="inlineStr">
        <is>
          <t>ACE 미국배당다우존스</t>
        </is>
      </c>
      <c r="C107" s="26" t="n">
        <v>45579</v>
      </c>
      <c r="D107" s="47" t="n">
        <v>45</v>
      </c>
      <c r="E107" s="48" t="n">
        <v>0.003633</v>
      </c>
    </row>
    <row r="108">
      <c r="A108" s="46" t="inlineStr">
        <is>
          <t>402970</t>
        </is>
      </c>
      <c r="B108" s="33" t="inlineStr">
        <is>
          <t>ACE 미국배당다우존스</t>
        </is>
      </c>
      <c r="C108" s="26" t="n">
        <v>45610</v>
      </c>
      <c r="D108" s="47" t="n">
        <v>30</v>
      </c>
      <c r="E108" s="48" t="n">
        <v>0.002276</v>
      </c>
    </row>
    <row r="109">
      <c r="A109" s="46" t="inlineStr">
        <is>
          <t>402970</t>
        </is>
      </c>
      <c r="B109" s="33" t="inlineStr">
        <is>
          <t>ACE 미국배당다우존스</t>
        </is>
      </c>
      <c r="C109" s="26" t="n">
        <v>45638</v>
      </c>
      <c r="D109" s="47" t="n">
        <v>68</v>
      </c>
      <c r="E109" s="48" t="n">
        <v>0.005121</v>
      </c>
    </row>
    <row r="110">
      <c r="A110" s="46" t="inlineStr">
        <is>
          <t>402970</t>
        </is>
      </c>
      <c r="B110" s="33" t="inlineStr">
        <is>
          <t>ACE 미국배당다우존스</t>
        </is>
      </c>
      <c r="C110" s="26" t="n">
        <v>45671</v>
      </c>
      <c r="D110" s="47" t="n">
        <v>39</v>
      </c>
      <c r="E110" s="48" t="n">
        <v>0.003025</v>
      </c>
    </row>
    <row r="111">
      <c r="A111" s="46" t="inlineStr">
        <is>
          <t>402970</t>
        </is>
      </c>
      <c r="B111" s="33" t="inlineStr">
        <is>
          <t>ACE 미국배당다우존스</t>
        </is>
      </c>
      <c r="C111" s="26" t="n">
        <v>45701</v>
      </c>
      <c r="D111" s="47" t="n">
        <v>28</v>
      </c>
      <c r="E111" s="48" t="n">
        <v>0.002142</v>
      </c>
    </row>
    <row r="112">
      <c r="A112" s="46" t="inlineStr">
        <is>
          <t>402970</t>
        </is>
      </c>
      <c r="B112" s="33" t="inlineStr">
        <is>
          <t>ACE 미국배당다우존스</t>
        </is>
      </c>
      <c r="C112" s="26" t="n">
        <v>45729</v>
      </c>
      <c r="D112" s="47" t="n">
        <v>46</v>
      </c>
      <c r="E112" s="48" t="n">
        <v>0.003543</v>
      </c>
    </row>
    <row r="113">
      <c r="A113" s="46" t="inlineStr">
        <is>
          <t>402970</t>
        </is>
      </c>
      <c r="B113" s="33" t="inlineStr">
        <is>
          <t>ACE 미국배당다우존스</t>
        </is>
      </c>
      <c r="C113" s="26" t="n">
        <v>45761</v>
      </c>
      <c r="D113" s="47" t="n">
        <v>35</v>
      </c>
      <c r="E113" s="48" t="n">
        <v>0.002925</v>
      </c>
    </row>
    <row r="114">
      <c r="A114" s="46" t="inlineStr">
        <is>
          <t>402970</t>
        </is>
      </c>
      <c r="B114" s="33" t="inlineStr">
        <is>
          <t>ACE 미국배당다우존스</t>
        </is>
      </c>
      <c r="C114" s="26" t="n">
        <v>45791</v>
      </c>
      <c r="D114" s="47" t="n">
        <v>21</v>
      </c>
      <c r="E114" s="48" t="n">
        <v>0.001743</v>
      </c>
    </row>
    <row r="115">
      <c r="A115" s="46" t="inlineStr">
        <is>
          <t>402970</t>
        </is>
      </c>
      <c r="B115" s="33" t="inlineStr">
        <is>
          <t>ACE 미국배당다우존스</t>
        </is>
      </c>
      <c r="C115" s="26" t="n">
        <v>45820</v>
      </c>
      <c r="D115" s="47" t="n">
        <v>45</v>
      </c>
      <c r="E115" s="48" t="n">
        <v>0.003794</v>
      </c>
    </row>
    <row r="116">
      <c r="A116" s="46" t="inlineStr">
        <is>
          <t>402970</t>
        </is>
      </c>
      <c r="B116" s="33" t="inlineStr">
        <is>
          <t>ACE 미국배당다우존스</t>
        </is>
      </c>
      <c r="C116" s="26" t="n">
        <v>45852</v>
      </c>
      <c r="D116" s="47" t="n">
        <v>38</v>
      </c>
      <c r="E116" s="48" t="n">
        <v>0.003116</v>
      </c>
    </row>
    <row r="117">
      <c r="A117" s="46" t="inlineStr">
        <is>
          <t>402970</t>
        </is>
      </c>
      <c r="B117" s="33" t="inlineStr">
        <is>
          <t>ACE 미국배당다우존스</t>
        </is>
      </c>
      <c r="C117" s="26" t="n">
        <v>45882</v>
      </c>
      <c r="D117" s="47" t="n">
        <v>20</v>
      </c>
      <c r="E117" s="48" t="n">
        <v>0.001665</v>
      </c>
    </row>
    <row r="118">
      <c r="A118" s="46" t="inlineStr">
        <is>
          <t>402970</t>
        </is>
      </c>
      <c r="B118" s="33" t="inlineStr">
        <is>
          <t>ACE 미국배당다우존스</t>
        </is>
      </c>
      <c r="C118" s="26" t="n">
        <v>45912</v>
      </c>
      <c r="D118" s="47" t="n">
        <v>44</v>
      </c>
      <c r="E118" s="48" t="n">
        <v>0.003577</v>
      </c>
    </row>
    <row r="119">
      <c r="A119" s="46" t="inlineStr">
        <is>
          <t>402970</t>
        </is>
      </c>
      <c r="B119" s="33" t="inlineStr">
        <is>
          <t>ACE 미국배당다우존스</t>
        </is>
      </c>
      <c r="C119" s="26" t="n">
        <v>45944</v>
      </c>
      <c r="D119" s="47" t="n">
        <v>37</v>
      </c>
      <c r="E119" s="48" t="n">
        <v>0.003019</v>
      </c>
    </row>
    <row r="120">
      <c r="A120" s="46" t="inlineStr">
        <is>
          <t>402970</t>
        </is>
      </c>
      <c r="B120" s="33" t="inlineStr">
        <is>
          <t>ACE 미국배당다우존스</t>
        </is>
      </c>
      <c r="C120" s="26" t="n">
        <v>45974</v>
      </c>
      <c r="D120" s="47" t="n">
        <v>21</v>
      </c>
      <c r="E120" s="48" t="n">
        <v>0.001641</v>
      </c>
    </row>
    <row r="121">
      <c r="A121" s="46" t="inlineStr">
        <is>
          <t>402970</t>
        </is>
      </c>
      <c r="B121" s="33" t="inlineStr">
        <is>
          <t>ACE 미국배당다우존스</t>
        </is>
      </c>
      <c r="C121" s="26" t="n">
        <v>46003</v>
      </c>
      <c r="D121" s="47" t="n">
        <v>53</v>
      </c>
      <c r="E121" s="48" t="n">
        <v>0.00404</v>
      </c>
    </row>
    <row r="122">
      <c r="A122" s="46" t="inlineStr">
        <is>
          <t>402970</t>
        </is>
      </c>
      <c r="B122" s="33" t="inlineStr">
        <is>
          <t>ACE 미국배당다우존스</t>
        </is>
      </c>
      <c r="C122" s="26" t="n">
        <v>46036</v>
      </c>
      <c r="D122" s="47" t="n">
        <v>39</v>
      </c>
      <c r="E122" s="48" t="n">
        <v>0.002885</v>
      </c>
    </row>
    <row r="123">
      <c r="A123" s="46" t="inlineStr">
        <is>
          <t>402970</t>
        </is>
      </c>
      <c r="B123" s="33" t="inlineStr">
        <is>
          <t>ACE 미국배당다우존스</t>
        </is>
      </c>
      <c r="C123" s="26" t="n">
        <v>46065</v>
      </c>
      <c r="D123" s="47" t="n">
        <v>24</v>
      </c>
      <c r="E123" s="48" t="n">
        <v>0.00163</v>
      </c>
    </row>
    <row r="124">
      <c r="A124" s="46" t="inlineStr">
        <is>
          <t>402970</t>
        </is>
      </c>
      <c r="B124" s="33" t="inlineStr">
        <is>
          <t>ACE 미국배당다우존스</t>
        </is>
      </c>
      <c r="C124" s="26" t="n">
        <v>46093</v>
      </c>
      <c r="D124" s="47" t="n">
        <v>46</v>
      </c>
      <c r="E124" s="48" t="n">
        <v>0.003151</v>
      </c>
    </row>
    <row r="125">
      <c r="A125" s="46" t="inlineStr">
        <is>
          <t>402970</t>
        </is>
      </c>
      <c r="B125" s="33" t="inlineStr">
        <is>
          <t>ACE 미국배당다우존스</t>
        </is>
      </c>
      <c r="C125" s="26" t="n">
        <v>46126</v>
      </c>
      <c r="D125" s="47" t="n">
        <v>44</v>
      </c>
      <c r="E125" s="48" t="n">
        <v>0.002994</v>
      </c>
    </row>
    <row r="126">
      <c r="A126" s="46" t="inlineStr">
        <is>
          <t>402970</t>
        </is>
      </c>
      <c r="B126" s="33" t="inlineStr">
        <is>
          <t>ACE 미국배당다우존스</t>
        </is>
      </c>
      <c r="C126" s="26" t="n">
        <v>46156</v>
      </c>
      <c r="D126" s="47" t="n">
        <v>27</v>
      </c>
      <c r="E126" s="48" t="n">
        <v>0.001774</v>
      </c>
    </row>
    <row r="127">
      <c r="A127" s="46" t="inlineStr">
        <is>
          <t>402970</t>
        </is>
      </c>
      <c r="B127" s="33" t="inlineStr">
        <is>
          <t>ACE 미국배당다우존스</t>
        </is>
      </c>
      <c r="C127" s="26" t="n">
        <v>46185</v>
      </c>
      <c r="D127" s="47" t="n">
        <v>40</v>
      </c>
      <c r="E127" s="48" t="n">
        <v>0.002525</v>
      </c>
    </row>
    <row r="128">
      <c r="A128" s="46" t="inlineStr">
        <is>
          <t>402970</t>
        </is>
      </c>
      <c r="B128" s="33" t="inlineStr">
        <is>
          <t>ACE 미국배당다우존스</t>
        </is>
      </c>
      <c r="C128" s="26" t="n">
        <v>46217</v>
      </c>
      <c r="D128" s="47" t="n">
        <v>50</v>
      </c>
      <c r="E128" s="48" t="n">
        <v>0.003178</v>
      </c>
    </row>
    <row r="129">
      <c r="A129" s="46" t="inlineStr">
        <is>
          <t>402970</t>
        </is>
      </c>
      <c r="B129" s="33" t="inlineStr">
        <is>
          <t>ACE 미국배당다우존스</t>
        </is>
      </c>
      <c r="C129" s="26" t="n">
        <v>46247</v>
      </c>
      <c r="D129" s="47" t="n">
        <v>25</v>
      </c>
      <c r="E129" s="48" t="n">
        <v>0.001604</v>
      </c>
    </row>
    <row r="130">
      <c r="A130" s="46" t="inlineStr">
        <is>
          <t>402970</t>
        </is>
      </c>
      <c r="B130" s="33" t="inlineStr">
        <is>
          <t>ACE 미국배당다우존스</t>
        </is>
      </c>
      <c r="C130" s="26" t="n">
        <v>46279</v>
      </c>
      <c r="D130" s="47" t="n">
        <v>35</v>
      </c>
      <c r="E130" s="48" t="n">
        <v>0.002377</v>
      </c>
    </row>
    <row r="131">
      <c r="A131" s="46" t="inlineStr">
        <is>
          <t>489250</t>
        </is>
      </c>
      <c r="B131" s="33" t="inlineStr">
        <is>
          <t>KODEX 미국배당다우존스</t>
        </is>
      </c>
      <c r="C131" s="26" t="n">
        <v>45547</v>
      </c>
      <c r="D131" s="47" t="n">
        <v>30</v>
      </c>
      <c r="E131" s="48" t="n">
        <v>0.002954</v>
      </c>
    </row>
    <row r="132">
      <c r="A132" s="46" t="inlineStr">
        <is>
          <t>489250</t>
        </is>
      </c>
      <c r="B132" s="33" t="inlineStr">
        <is>
          <t>KODEX 미국배당다우존스</t>
        </is>
      </c>
      <c r="C132" s="26" t="n">
        <v>45579</v>
      </c>
      <c r="D132" s="47" t="n">
        <v>33</v>
      </c>
      <c r="E132" s="48" t="n">
        <v>0.003148</v>
      </c>
    </row>
    <row r="133">
      <c r="A133" s="46" t="inlineStr">
        <is>
          <t>489250</t>
        </is>
      </c>
      <c r="B133" s="33" t="inlineStr">
        <is>
          <t>KODEX 미국배당다우존스</t>
        </is>
      </c>
      <c r="C133" s="26" t="n">
        <v>45610</v>
      </c>
      <c r="D133" s="47" t="n">
        <v>28</v>
      </c>
      <c r="E133" s="48" t="n">
        <v>0.002509</v>
      </c>
    </row>
    <row r="134">
      <c r="A134" s="46" t="inlineStr">
        <is>
          <t>489250</t>
        </is>
      </c>
      <c r="B134" s="33" t="inlineStr">
        <is>
          <t>KODEX 미국배당다우존스</t>
        </is>
      </c>
      <c r="C134" s="26" t="n">
        <v>45638</v>
      </c>
      <c r="D134" s="47" t="n">
        <v>41</v>
      </c>
      <c r="E134" s="48" t="n">
        <v>0.003647</v>
      </c>
    </row>
    <row r="135">
      <c r="A135" s="46" t="inlineStr">
        <is>
          <t>489250</t>
        </is>
      </c>
      <c r="B135" s="33" t="inlineStr">
        <is>
          <t>KODEX 미국배당다우존스</t>
        </is>
      </c>
      <c r="C135" s="26" t="n">
        <v>45671</v>
      </c>
      <c r="D135" s="47" t="n">
        <v>40</v>
      </c>
      <c r="E135" s="48" t="n">
        <v>0.003659</v>
      </c>
    </row>
    <row r="136">
      <c r="A136" s="46" t="inlineStr">
        <is>
          <t>489250</t>
        </is>
      </c>
      <c r="B136" s="33" t="inlineStr">
        <is>
          <t>KODEX 미국배당다우존스</t>
        </is>
      </c>
      <c r="C136" s="26" t="n">
        <v>45701</v>
      </c>
      <c r="D136" s="47" t="n">
        <v>32</v>
      </c>
      <c r="E136" s="48" t="n">
        <v>0.002909</v>
      </c>
    </row>
    <row r="137">
      <c r="A137" s="46" t="inlineStr">
        <is>
          <t>489250</t>
        </is>
      </c>
      <c r="B137" s="33" t="inlineStr">
        <is>
          <t>KODEX 미국배당다우존스</t>
        </is>
      </c>
      <c r="C137" s="26" t="n">
        <v>45729</v>
      </c>
      <c r="D137" s="47" t="n">
        <v>29</v>
      </c>
      <c r="E137" s="48" t="n">
        <v>0.002634</v>
      </c>
    </row>
    <row r="138">
      <c r="A138" s="46" t="inlineStr">
        <is>
          <t>489250</t>
        </is>
      </c>
      <c r="B138" s="33" t="inlineStr">
        <is>
          <t>KODEX 미국배당다우존스</t>
        </is>
      </c>
      <c r="C138" s="26" t="n">
        <v>45761</v>
      </c>
      <c r="D138" s="47" t="n">
        <v>34</v>
      </c>
      <c r="E138" s="48" t="n">
        <v>0.003378</v>
      </c>
    </row>
    <row r="139">
      <c r="A139" s="46" t="inlineStr">
        <is>
          <t>489250</t>
        </is>
      </c>
      <c r="B139" s="33" t="inlineStr">
        <is>
          <t>KODEX 미국배당다우존스</t>
        </is>
      </c>
      <c r="C139" s="26" t="n">
        <v>45791</v>
      </c>
      <c r="D139" s="47" t="n">
        <v>24</v>
      </c>
      <c r="E139" s="48" t="n">
        <v>0.002356</v>
      </c>
    </row>
    <row r="140">
      <c r="A140" s="46" t="inlineStr">
        <is>
          <t>489250</t>
        </is>
      </c>
      <c r="B140" s="33" t="inlineStr">
        <is>
          <t>KODEX 미국배당다우존스</t>
        </is>
      </c>
      <c r="C140" s="26" t="n">
        <v>45820</v>
      </c>
      <c r="D140" s="47" t="n">
        <v>30</v>
      </c>
      <c r="E140" s="48" t="n">
        <v>0.00299</v>
      </c>
    </row>
    <row r="141">
      <c r="A141" s="46" t="inlineStr">
        <is>
          <t>489250</t>
        </is>
      </c>
      <c r="B141" s="33" t="inlineStr">
        <is>
          <t>KODEX 미국배당다우존스</t>
        </is>
      </c>
      <c r="C141" s="26" t="n">
        <v>45852</v>
      </c>
      <c r="D141" s="47" t="n">
        <v>31</v>
      </c>
      <c r="E141" s="48" t="n">
        <v>0.003007</v>
      </c>
    </row>
    <row r="142">
      <c r="A142" s="46" t="inlineStr">
        <is>
          <t>489250</t>
        </is>
      </c>
      <c r="B142" s="33" t="inlineStr">
        <is>
          <t>KODEX 미국배당다우존스</t>
        </is>
      </c>
      <c r="C142" s="26" t="n">
        <v>45882</v>
      </c>
      <c r="D142" s="47" t="n">
        <v>22</v>
      </c>
      <c r="E142" s="48" t="n">
        <v>0.002165</v>
      </c>
    </row>
    <row r="143">
      <c r="A143" s="46" t="inlineStr">
        <is>
          <t>489250</t>
        </is>
      </c>
      <c r="B143" s="33" t="inlineStr">
        <is>
          <t>KODEX 미국배당다우존스</t>
        </is>
      </c>
      <c r="C143" s="26" t="n">
        <v>45912</v>
      </c>
      <c r="D143" s="47" t="n">
        <v>28</v>
      </c>
      <c r="E143" s="48" t="n">
        <v>0.002688</v>
      </c>
    </row>
    <row r="144">
      <c r="A144" s="46" t="inlineStr">
        <is>
          <t>489250</t>
        </is>
      </c>
      <c r="B144" s="33" t="inlineStr">
        <is>
          <t>KODEX 미국배당다우존스</t>
        </is>
      </c>
      <c r="C144" s="26" t="n">
        <v>45944</v>
      </c>
      <c r="D144" s="47" t="n">
        <v>31</v>
      </c>
      <c r="E144" s="48" t="n">
        <v>0.002989</v>
      </c>
    </row>
    <row r="145">
      <c r="A145" s="46" t="inlineStr">
        <is>
          <t>489250</t>
        </is>
      </c>
      <c r="B145" s="33" t="inlineStr">
        <is>
          <t>KODEX 미국배당다우존스</t>
        </is>
      </c>
      <c r="C145" s="26" t="n">
        <v>45974</v>
      </c>
      <c r="D145" s="47" t="n">
        <v>21</v>
      </c>
      <c r="E145" s="48" t="n">
        <v>0.001939</v>
      </c>
    </row>
    <row r="146">
      <c r="A146" s="46" t="inlineStr">
        <is>
          <t>489250</t>
        </is>
      </c>
      <c r="B146" s="33" t="inlineStr">
        <is>
          <t>KODEX 미국배당다우존스</t>
        </is>
      </c>
      <c r="C146" s="26" t="n">
        <v>46003</v>
      </c>
      <c r="D146" s="47" t="n">
        <v>33</v>
      </c>
      <c r="E146" s="48" t="n">
        <v>0.002966</v>
      </c>
    </row>
    <row r="147">
      <c r="A147" s="46" t="inlineStr">
        <is>
          <t>489250</t>
        </is>
      </c>
      <c r="B147" s="33" t="inlineStr">
        <is>
          <t>KODEX 미국배당다우존스</t>
        </is>
      </c>
      <c r="C147" s="26" t="n">
        <v>46036</v>
      </c>
      <c r="D147" s="47" t="n">
        <v>34</v>
      </c>
      <c r="E147" s="48" t="n">
        <v>0.002964</v>
      </c>
    </row>
    <row r="148">
      <c r="A148" s="46" t="inlineStr">
        <is>
          <t>489250</t>
        </is>
      </c>
      <c r="B148" s="33" t="inlineStr">
        <is>
          <t>KODEX 미국배당다우존스</t>
        </is>
      </c>
      <c r="C148" s="26" t="n">
        <v>46065</v>
      </c>
      <c r="D148" s="47" t="n">
        <v>28</v>
      </c>
      <c r="E148" s="48" t="n">
        <v>0.00224</v>
      </c>
    </row>
    <row r="149">
      <c r="A149" s="46" t="inlineStr">
        <is>
          <t>489250</t>
        </is>
      </c>
      <c r="B149" s="33" t="inlineStr">
        <is>
          <t>KODEX 미국배당다우존스</t>
        </is>
      </c>
      <c r="C149" s="26" t="n">
        <v>46093</v>
      </c>
      <c r="D149" s="47" t="n">
        <v>32</v>
      </c>
      <c r="E149" s="48" t="n">
        <v>0.002589</v>
      </c>
    </row>
    <row r="150">
      <c r="A150" s="46" t="inlineStr">
        <is>
          <t>489250</t>
        </is>
      </c>
      <c r="B150" s="33" t="inlineStr">
        <is>
          <t>KODEX 미국배당다우존스</t>
        </is>
      </c>
      <c r="C150" s="26" t="n">
        <v>46126</v>
      </c>
      <c r="D150" s="47" t="n">
        <v>33</v>
      </c>
      <c r="E150" s="48" t="n">
        <v>0.002645</v>
      </c>
    </row>
    <row r="151">
      <c r="A151" s="46" t="inlineStr">
        <is>
          <t>489250</t>
        </is>
      </c>
      <c r="B151" s="33" t="inlineStr">
        <is>
          <t>KODEX 미국배당다우존스</t>
        </is>
      </c>
      <c r="C151" s="26" t="n">
        <v>46156</v>
      </c>
      <c r="D151" s="47" t="n">
        <v>26</v>
      </c>
      <c r="E151" s="48" t="n">
        <v>0.002016</v>
      </c>
    </row>
    <row r="152">
      <c r="A152" s="46" t="inlineStr">
        <is>
          <t>489250</t>
        </is>
      </c>
      <c r="B152" s="33" t="inlineStr">
        <is>
          <t>KODEX 미국배당다우존스</t>
        </is>
      </c>
      <c r="C152" s="26" t="n">
        <v>46185</v>
      </c>
      <c r="D152" s="47" t="n">
        <v>29</v>
      </c>
      <c r="E152" s="48" t="n">
        <v>0.002161</v>
      </c>
    </row>
    <row r="153">
      <c r="A153" s="46" t="inlineStr">
        <is>
          <t>489250</t>
        </is>
      </c>
      <c r="B153" s="33" t="inlineStr">
        <is>
          <t>KODEX 미국배당다우존스</t>
        </is>
      </c>
      <c r="C153" s="26" t="n">
        <v>46217</v>
      </c>
      <c r="D153" s="47" t="n">
        <v>40</v>
      </c>
      <c r="E153" s="48" t="n">
        <v>0.003001</v>
      </c>
    </row>
    <row r="154">
      <c r="A154" s="46" t="inlineStr">
        <is>
          <t>489250</t>
        </is>
      </c>
      <c r="B154" s="33" t="inlineStr">
        <is>
          <t>KODEX 미국배당다우존스</t>
        </is>
      </c>
      <c r="C154" s="26" t="n">
        <v>46247</v>
      </c>
      <c r="D154" s="47" t="n">
        <v>37</v>
      </c>
      <c r="E154" s="48" t="n">
        <v>0.0028</v>
      </c>
    </row>
    <row r="155">
      <c r="A155" s="46" t="inlineStr">
        <is>
          <t>489250</t>
        </is>
      </c>
      <c r="B155" s="33" t="inlineStr">
        <is>
          <t>KODEX 미국배당다우존스</t>
        </is>
      </c>
      <c r="C155" s="26" t="n">
        <v>46279</v>
      </c>
      <c r="D155" s="47" t="n">
        <v>24</v>
      </c>
      <c r="E155" s="48" t="n">
        <v>0.001924</v>
      </c>
    </row>
    <row r="156">
      <c r="A156" s="46" t="n"/>
      <c r="B156" s="33" t="n"/>
      <c r="C156" s="26" t="n"/>
      <c r="D156" s="47" t="n"/>
      <c r="E156" s="48" t="n"/>
    </row>
    <row r="157">
      <c r="A157" s="46" t="n"/>
      <c r="B157" s="33" t="n"/>
      <c r="C157" s="26" t="n"/>
      <c r="D157" s="47" t="n"/>
      <c r="E157" s="48" t="n"/>
    </row>
    <row r="158">
      <c r="A158" s="46" t="n"/>
      <c r="B158" s="33" t="n"/>
      <c r="C158" s="26" t="n"/>
      <c r="D158" s="47" t="n"/>
      <c r="E158" s="48" t="n"/>
    </row>
    <row r="159">
      <c r="A159" s="46" t="n"/>
      <c r="B159" s="33" t="n"/>
      <c r="C159" s="26" t="n"/>
      <c r="D159" s="47" t="n"/>
      <c r="E159" s="48" t="n"/>
    </row>
    <row r="160">
      <c r="A160" s="46" t="n"/>
      <c r="B160" s="33" t="n"/>
      <c r="C160" s="26" t="n"/>
      <c r="D160" s="47" t="n"/>
      <c r="E160" s="48" t="n"/>
    </row>
    <row r="161">
      <c r="A161" s="46" t="n"/>
      <c r="B161" s="33" t="n"/>
      <c r="C161" s="26" t="n"/>
      <c r="D161" s="47" t="n"/>
      <c r="E161" s="48" t="n"/>
    </row>
    <row r="162">
      <c r="A162" s="46" t="n"/>
      <c r="B162" s="33" t="n"/>
      <c r="C162" s="26" t="n"/>
      <c r="D162" s="47" t="n"/>
      <c r="E162" s="48" t="n"/>
    </row>
    <row r="163">
      <c r="A163" s="46" t="n"/>
      <c r="B163" s="33" t="n"/>
      <c r="C163" s="26" t="n"/>
      <c r="D163" s="47" t="n"/>
      <c r="E163" s="48" t="n"/>
    </row>
    <row r="164">
      <c r="A164" s="46" t="n"/>
      <c r="B164" s="33" t="n"/>
      <c r="C164" s="26" t="n"/>
      <c r="D164" s="47" t="n"/>
      <c r="E164" s="48" t="n"/>
    </row>
    <row r="165">
      <c r="A165" s="46" t="n"/>
      <c r="B165" s="33" t="n"/>
      <c r="C165" s="26" t="n"/>
      <c r="D165" s="47" t="n"/>
      <c r="E165" s="48" t="n"/>
    </row>
    <row r="166">
      <c r="A166" s="46" t="n"/>
      <c r="B166" s="33" t="n"/>
      <c r="C166" s="26" t="n"/>
      <c r="D166" s="47" t="n"/>
      <c r="E166" s="48" t="n"/>
    </row>
    <row r="167">
      <c r="A167" s="46" t="n"/>
      <c r="B167" s="33" t="n"/>
      <c r="C167" s="26" t="n"/>
      <c r="D167" s="47" t="n"/>
      <c r="E167" s="48" t="n"/>
    </row>
    <row r="168">
      <c r="A168" s="46" t="n"/>
      <c r="B168" s="33" t="n"/>
      <c r="C168" s="26" t="n"/>
      <c r="D168" s="47" t="n"/>
      <c r="E168" s="48" t="n"/>
    </row>
    <row r="169">
      <c r="A169" s="46" t="n"/>
      <c r="B169" s="33" t="n"/>
      <c r="C169" s="26" t="n"/>
      <c r="D169" s="47" t="n"/>
      <c r="E169" s="48" t="n"/>
    </row>
    <row r="170">
      <c r="A170" s="46" t="n"/>
      <c r="B170" s="33" t="n"/>
      <c r="C170" s="26" t="n"/>
      <c r="D170" s="47" t="n"/>
      <c r="E170" s="48" t="n"/>
    </row>
    <row r="171">
      <c r="A171" s="46" t="n"/>
      <c r="B171" s="33" t="n"/>
      <c r="C171" s="26" t="n"/>
      <c r="D171" s="47" t="n"/>
      <c r="E171" s="48" t="n"/>
    </row>
    <row r="172">
      <c r="A172" s="46" t="n"/>
      <c r="B172" s="33" t="n"/>
      <c r="C172" s="26" t="n"/>
      <c r="D172" s="47" t="n"/>
      <c r="E172" s="48" t="n"/>
    </row>
    <row r="173">
      <c r="A173" s="46" t="n"/>
      <c r="B173" s="33" t="n"/>
      <c r="C173" s="26" t="n"/>
      <c r="D173" s="47" t="n"/>
      <c r="E173" s="48" t="n"/>
    </row>
    <row r="174">
      <c r="A174" s="46" t="n"/>
      <c r="B174" s="33" t="n"/>
      <c r="C174" s="26" t="n"/>
      <c r="D174" s="47" t="n"/>
      <c r="E174" s="48" t="n"/>
    </row>
    <row r="175">
      <c r="A175" s="46" t="n"/>
      <c r="B175" s="33" t="n"/>
      <c r="C175" s="26" t="n"/>
      <c r="D175" s="47" t="n"/>
      <c r="E175" s="48" t="n"/>
    </row>
    <row r="176">
      <c r="A176" s="46" t="n"/>
      <c r="B176" s="33" t="n"/>
      <c r="C176" s="26" t="n"/>
      <c r="D176" s="47" t="n"/>
      <c r="E176" s="48" t="n"/>
    </row>
    <row r="177">
      <c r="A177" s="46" t="n"/>
      <c r="B177" s="33" t="n"/>
      <c r="C177" s="26" t="n"/>
      <c r="D177" s="47" t="n"/>
      <c r="E177" s="48" t="n"/>
    </row>
    <row r="178">
      <c r="A178" s="46" t="n"/>
      <c r="B178" s="33" t="n"/>
      <c r="C178" s="26" t="n"/>
      <c r="D178" s="47" t="n"/>
      <c r="E178" s="48" t="n"/>
    </row>
    <row r="179">
      <c r="A179" s="46" t="n"/>
      <c r="B179" s="33" t="n"/>
      <c r="C179" s="26" t="n"/>
      <c r="D179" s="47" t="n"/>
      <c r="E179" s="48" t="n"/>
    </row>
    <row r="180">
      <c r="A180" s="46" t="n"/>
      <c r="B180" s="33" t="n"/>
      <c r="C180" s="26" t="n"/>
      <c r="D180" s="47" t="n"/>
      <c r="E180" s="48" t="n"/>
    </row>
    <row r="181">
      <c r="A181" s="46" t="n"/>
      <c r="B181" s="33" t="n"/>
      <c r="C181" s="26" t="n"/>
      <c r="D181" s="47" t="n"/>
      <c r="E181" s="48" t="n"/>
    </row>
    <row r="182">
      <c r="A182" s="46" t="n"/>
      <c r="B182" s="33" t="n"/>
      <c r="C182" s="26" t="n"/>
      <c r="D182" s="47" t="n"/>
      <c r="E182" s="48" t="n"/>
    </row>
    <row r="183">
      <c r="A183" s="46" t="n"/>
      <c r="B183" s="33" t="n"/>
      <c r="C183" s="26" t="n"/>
      <c r="D183" s="47" t="n"/>
      <c r="E183" s="48" t="n"/>
    </row>
    <row r="184">
      <c r="A184" s="46" t="n"/>
      <c r="B184" s="33" t="n"/>
      <c r="C184" s="26" t="n"/>
      <c r="D184" s="47" t="n"/>
      <c r="E184" s="48" t="n"/>
    </row>
    <row r="185">
      <c r="A185" s="46" t="n"/>
      <c r="B185" s="33" t="n"/>
      <c r="C185" s="26" t="n"/>
      <c r="D185" s="47" t="n"/>
      <c r="E185" s="48" t="n"/>
    </row>
    <row r="186">
      <c r="A186" s="46" t="n"/>
      <c r="B186" s="33" t="n"/>
      <c r="C186" s="26" t="n"/>
      <c r="D186" s="47" t="n"/>
      <c r="E186" s="48" t="n"/>
    </row>
    <row r="187">
      <c r="A187" s="46" t="n"/>
      <c r="B187" s="33" t="n"/>
      <c r="C187" s="26" t="n"/>
      <c r="D187" s="47" t="n"/>
      <c r="E187" s="48" t="n"/>
    </row>
    <row r="188">
      <c r="A188" s="46" t="n"/>
      <c r="B188" s="33" t="n"/>
      <c r="C188" s="26" t="n"/>
      <c r="D188" s="47" t="n"/>
      <c r="E188" s="48" t="n"/>
    </row>
    <row r="189">
      <c r="A189" s="46" t="n"/>
      <c r="B189" s="33" t="n"/>
      <c r="C189" s="26" t="n"/>
      <c r="D189" s="47" t="n"/>
      <c r="E189" s="48" t="n"/>
    </row>
    <row r="190">
      <c r="A190" s="46" t="n"/>
      <c r="B190" s="33" t="n"/>
      <c r="C190" s="26" t="n"/>
      <c r="D190" s="47" t="n"/>
      <c r="E190" s="48" t="n"/>
    </row>
    <row r="191">
      <c r="A191" s="46" t="n"/>
      <c r="B191" s="33" t="n"/>
      <c r="C191" s="26" t="n"/>
      <c r="D191" s="47" t="n"/>
      <c r="E191" s="48" t="n"/>
    </row>
    <row r="192">
      <c r="A192" s="46" t="n"/>
      <c r="B192" s="33" t="n"/>
      <c r="C192" s="26" t="n"/>
      <c r="D192" s="47" t="n"/>
      <c r="E192" s="48" t="n"/>
    </row>
    <row r="193">
      <c r="A193" s="46" t="n"/>
      <c r="B193" s="33" t="n"/>
      <c r="C193" s="26" t="n"/>
      <c r="D193" s="47" t="n"/>
      <c r="E193" s="48" t="n"/>
    </row>
    <row r="194">
      <c r="A194" s="46" t="n"/>
      <c r="B194" s="33" t="n"/>
      <c r="C194" s="26" t="n"/>
      <c r="D194" s="47" t="n"/>
      <c r="E194" s="48" t="n"/>
    </row>
    <row r="195">
      <c r="A195" s="46" t="n"/>
      <c r="B195" s="33" t="n"/>
      <c r="C195" s="26" t="n"/>
      <c r="D195" s="47" t="n"/>
      <c r="E195" s="48" t="n"/>
    </row>
    <row r="196">
      <c r="A196" s="46" t="n"/>
      <c r="B196" s="33" t="n"/>
      <c r="C196" s="26" t="n"/>
      <c r="D196" s="47" t="n"/>
      <c r="E196" s="48" t="n"/>
    </row>
    <row r="197">
      <c r="A197" s="46" t="n"/>
      <c r="B197" s="33" t="n"/>
      <c r="C197" s="26" t="n"/>
      <c r="D197" s="47" t="n"/>
      <c r="E197" s="48" t="n"/>
    </row>
    <row r="198">
      <c r="A198" s="46" t="n"/>
      <c r="B198" s="33" t="n"/>
      <c r="C198" s="26" t="n"/>
      <c r="D198" s="47" t="n"/>
      <c r="E198" s="48" t="n"/>
    </row>
    <row r="199">
      <c r="A199" s="46" t="n"/>
      <c r="B199" s="33" t="n"/>
      <c r="C199" s="26" t="n"/>
      <c r="D199" s="47" t="n"/>
      <c r="E199" s="48" t="n"/>
    </row>
    <row r="200">
      <c r="A200" s="46" t="n"/>
      <c r="B200" s="33" t="n"/>
      <c r="C200" s="26" t="n"/>
      <c r="D200" s="47" t="n"/>
      <c r="E200" s="48" t="n"/>
    </row>
    <row r="201">
      <c r="A201" s="46" t="n"/>
      <c r="B201" s="33" t="n"/>
      <c r="C201" s="26" t="n"/>
      <c r="D201" s="47" t="n"/>
      <c r="E201" s="48" t="n"/>
    </row>
    <row r="202">
      <c r="A202" s="46" t="n"/>
      <c r="B202" s="33" t="n"/>
      <c r="C202" s="26" t="n"/>
      <c r="D202" s="47" t="n"/>
      <c r="E202" s="48" t="n"/>
    </row>
    <row r="203">
      <c r="A203" s="46" t="n"/>
      <c r="B203" s="33" t="n"/>
      <c r="C203" s="26" t="n"/>
      <c r="D203" s="47" t="n"/>
      <c r="E203" s="48" t="n"/>
    </row>
    <row r="204">
      <c r="A204" s="46" t="n"/>
      <c r="B204" s="33" t="n"/>
      <c r="C204" s="26" t="n"/>
      <c r="D204" s="47" t="n"/>
      <c r="E204" s="48" t="n"/>
    </row>
    <row r="205">
      <c r="A205" s="46" t="n"/>
      <c r="B205" s="33" t="n"/>
      <c r="C205" s="26" t="n"/>
      <c r="D205" s="47" t="n"/>
      <c r="E205" s="48" t="n"/>
    </row>
    <row r="206">
      <c r="A206" s="46" t="n"/>
      <c r="B206" s="33" t="n"/>
      <c r="C206" s="26" t="n"/>
      <c r="D206" s="47" t="n"/>
      <c r="E206" s="48" t="n"/>
    </row>
    <row r="207">
      <c r="A207" s="46" t="n"/>
      <c r="B207" s="33" t="n"/>
      <c r="C207" s="26" t="n"/>
      <c r="D207" s="47" t="n"/>
      <c r="E207" s="48" t="n"/>
    </row>
    <row r="208">
      <c r="A208" s="46" t="n"/>
      <c r="B208" s="33" t="n"/>
      <c r="C208" s="26" t="n"/>
      <c r="D208" s="47" t="n"/>
      <c r="E208" s="48" t="n"/>
    </row>
    <row r="209">
      <c r="A209" s="46" t="n"/>
      <c r="B209" s="33" t="n"/>
      <c r="C209" s="26" t="n"/>
      <c r="D209" s="47" t="n"/>
      <c r="E209" s="48" t="n"/>
    </row>
    <row r="210">
      <c r="A210" s="46" t="n"/>
      <c r="B210" s="33" t="n"/>
      <c r="C210" s="26" t="n"/>
      <c r="D210" s="47" t="n"/>
      <c r="E210" s="48" t="n"/>
    </row>
    <row r="211">
      <c r="A211" s="46" t="n"/>
      <c r="B211" s="33" t="n"/>
      <c r="C211" s="26" t="n"/>
      <c r="D211" s="47" t="n"/>
      <c r="E211" s="48" t="n"/>
    </row>
    <row r="212">
      <c r="A212" s="46" t="n"/>
      <c r="B212" s="33" t="n"/>
      <c r="C212" s="26" t="n"/>
      <c r="D212" s="47" t="n"/>
      <c r="E212" s="48" t="n"/>
    </row>
    <row r="213">
      <c r="A213" s="46" t="n"/>
      <c r="B213" s="33" t="n"/>
      <c r="C213" s="26" t="n"/>
      <c r="D213" s="47" t="n"/>
      <c r="E213" s="48" t="n"/>
    </row>
    <row r="214">
      <c r="A214" s="46" t="n"/>
      <c r="B214" s="33" t="n"/>
      <c r="C214" s="26" t="n"/>
      <c r="D214" s="47" t="n"/>
      <c r="E214" s="48" t="n"/>
    </row>
    <row r="215">
      <c r="A215" s="46" t="n"/>
      <c r="B215" s="33" t="n"/>
      <c r="C215" s="26" t="n"/>
      <c r="D215" s="47" t="n"/>
      <c r="E215" s="48" t="n"/>
    </row>
    <row r="216">
      <c r="A216" s="46" t="n"/>
      <c r="B216" s="33" t="n"/>
      <c r="C216" s="26" t="n"/>
      <c r="D216" s="47" t="n"/>
      <c r="E216" s="48" t="n"/>
    </row>
    <row r="217">
      <c r="A217" s="46" t="n"/>
      <c r="B217" s="33" t="n"/>
      <c r="C217" s="26" t="n"/>
      <c r="D217" s="47" t="n"/>
      <c r="E217" s="48" t="n"/>
    </row>
    <row r="218">
      <c r="A218" s="46" t="n"/>
      <c r="B218" s="33" t="n"/>
      <c r="C218" s="26" t="n"/>
      <c r="D218" s="47" t="n"/>
      <c r="E218" s="48" t="n"/>
    </row>
    <row r="219">
      <c r="A219" s="46" t="n"/>
      <c r="B219" s="33" t="n"/>
      <c r="C219" s="26" t="n"/>
      <c r="D219" s="47" t="n"/>
      <c r="E219" s="48" t="n"/>
    </row>
    <row r="220">
      <c r="A220" s="46" t="n"/>
      <c r="B220" s="33" t="n"/>
      <c r="C220" s="26" t="n"/>
      <c r="D220" s="47" t="n"/>
      <c r="E220" s="48" t="n"/>
    </row>
    <row r="221">
      <c r="A221" s="46" t="n"/>
      <c r="B221" s="33" t="n"/>
      <c r="C221" s="26" t="n"/>
      <c r="D221" s="47" t="n"/>
      <c r="E221" s="48" t="n"/>
    </row>
    <row r="222">
      <c r="A222" s="46" t="n"/>
      <c r="B222" s="33" t="n"/>
      <c r="C222" s="26" t="n"/>
      <c r="D222" s="47" t="n"/>
      <c r="E222" s="48" t="n"/>
    </row>
    <row r="223">
      <c r="A223" s="46" t="n"/>
      <c r="B223" s="33" t="n"/>
      <c r="C223" s="26" t="n"/>
      <c r="D223" s="47" t="n"/>
      <c r="E223" s="48" t="n"/>
    </row>
    <row r="224">
      <c r="A224" s="46" t="n"/>
      <c r="B224" s="33" t="n"/>
      <c r="C224" s="26" t="n"/>
      <c r="D224" s="47" t="n"/>
      <c r="E224" s="48" t="n"/>
    </row>
    <row r="225">
      <c r="A225" s="46" t="n"/>
      <c r="B225" s="33" t="n"/>
      <c r="C225" s="26" t="n"/>
      <c r="D225" s="47" t="n"/>
      <c r="E225" s="48" t="n"/>
    </row>
    <row r="226">
      <c r="A226" s="46" t="n"/>
      <c r="B226" s="33" t="n"/>
      <c r="C226" s="26" t="n"/>
      <c r="D226" s="47" t="n"/>
      <c r="E226" s="48" t="n"/>
    </row>
    <row r="227">
      <c r="A227" s="46" t="n"/>
      <c r="B227" s="33" t="n"/>
      <c r="C227" s="26" t="n"/>
      <c r="D227" s="47" t="n"/>
      <c r="E227" s="48" t="n"/>
    </row>
    <row r="228">
      <c r="A228" s="46" t="n"/>
      <c r="B228" s="33" t="n"/>
      <c r="C228" s="26" t="n"/>
      <c r="D228" s="47" t="n"/>
      <c r="E228" s="48" t="n"/>
    </row>
    <row r="229">
      <c r="A229" s="46" t="n"/>
      <c r="B229" s="33" t="n"/>
      <c r="C229" s="26" t="n"/>
      <c r="D229" s="47" t="n"/>
      <c r="E229" s="48" t="n"/>
    </row>
    <row r="230">
      <c r="A230" s="46" t="n"/>
      <c r="B230" s="33" t="n"/>
      <c r="C230" s="26" t="n"/>
      <c r="D230" s="47" t="n"/>
      <c r="E230" s="48" t="n"/>
    </row>
    <row r="231">
      <c r="A231" s="46" t="n"/>
      <c r="B231" s="33" t="n"/>
      <c r="C231" s="26" t="n"/>
      <c r="D231" s="47" t="n"/>
      <c r="E231" s="48" t="n"/>
    </row>
    <row r="232">
      <c r="A232" s="46" t="n"/>
      <c r="B232" s="33" t="n"/>
      <c r="C232" s="26" t="n"/>
      <c r="D232" s="47" t="n"/>
      <c r="E232" s="48" t="n"/>
    </row>
    <row r="233">
      <c r="A233" s="46" t="n"/>
      <c r="B233" s="33" t="n"/>
      <c r="C233" s="26" t="n"/>
      <c r="D233" s="47" t="n"/>
      <c r="E233" s="48" t="n"/>
    </row>
    <row r="234">
      <c r="A234" s="46" t="n"/>
      <c r="B234" s="33" t="n"/>
      <c r="C234" s="26" t="n"/>
      <c r="D234" s="47" t="n"/>
      <c r="E234" s="48" t="n"/>
    </row>
    <row r="235">
      <c r="A235" s="46" t="n"/>
      <c r="B235" s="33" t="n"/>
      <c r="C235" s="26" t="n"/>
      <c r="D235" s="47" t="n"/>
      <c r="E235" s="48" t="n"/>
    </row>
    <row r="236">
      <c r="A236" s="46" t="n"/>
      <c r="B236" s="33" t="n"/>
      <c r="C236" s="26" t="n"/>
      <c r="D236" s="47" t="n"/>
      <c r="E236" s="48" t="n"/>
    </row>
    <row r="237">
      <c r="A237" s="46" t="n"/>
      <c r="B237" s="33" t="n"/>
      <c r="C237" s="26" t="n"/>
      <c r="D237" s="47" t="n"/>
      <c r="E237" s="48" t="n"/>
    </row>
    <row r="238">
      <c r="A238" s="46" t="n"/>
      <c r="B238" s="33" t="n"/>
      <c r="C238" s="26" t="n"/>
      <c r="D238" s="47" t="n"/>
      <c r="E238" s="48" t="n"/>
    </row>
    <row r="239">
      <c r="A239" s="46" t="n"/>
      <c r="B239" s="33" t="n"/>
      <c r="C239" s="26" t="n"/>
      <c r="D239" s="47" t="n"/>
      <c r="E239" s="48" t="n"/>
    </row>
    <row r="240">
      <c r="A240" s="46" t="n"/>
      <c r="B240" s="33" t="n"/>
      <c r="C240" s="26" t="n"/>
      <c r="D240" s="47" t="n"/>
      <c r="E240" s="48" t="n"/>
    </row>
    <row r="241">
      <c r="A241" s="46" t="n"/>
      <c r="B241" s="33" t="n"/>
      <c r="C241" s="26" t="n"/>
      <c r="D241" s="47" t="n"/>
      <c r="E241" s="48" t="n"/>
    </row>
    <row r="242">
      <c r="A242" s="46" t="n"/>
      <c r="B242" s="33" t="n"/>
      <c r="C242" s="26" t="n"/>
      <c r="D242" s="47" t="n"/>
      <c r="E242" s="48" t="n"/>
    </row>
    <row r="243">
      <c r="A243" s="46" t="n"/>
      <c r="B243" s="33" t="n"/>
      <c r="C243" s="26" t="n"/>
      <c r="D243" s="47" t="n"/>
      <c r="E243" s="48" t="n"/>
    </row>
    <row r="244">
      <c r="A244" s="46" t="n"/>
      <c r="B244" s="33" t="n"/>
      <c r="C244" s="26" t="n"/>
      <c r="D244" s="47" t="n"/>
      <c r="E244" s="48" t="n"/>
    </row>
    <row r="245">
      <c r="A245" s="46" t="n"/>
      <c r="B245" s="33" t="n"/>
      <c r="C245" s="26" t="n"/>
      <c r="D245" s="47" t="n"/>
      <c r="E245" s="48" t="n"/>
    </row>
    <row r="246">
      <c r="A246" s="46" t="n"/>
      <c r="B246" s="33" t="n"/>
      <c r="C246" s="26" t="n"/>
      <c r="D246" s="47" t="n"/>
      <c r="E246" s="48" t="n"/>
    </row>
    <row r="247">
      <c r="A247" s="46" t="n"/>
      <c r="B247" s="33" t="n"/>
      <c r="C247" s="26" t="n"/>
      <c r="D247" s="47" t="n"/>
      <c r="E247" s="48" t="n"/>
    </row>
    <row r="248">
      <c r="A248" s="46" t="n"/>
      <c r="B248" s="33" t="n"/>
      <c r="C248" s="26" t="n"/>
      <c r="D248" s="47" t="n"/>
      <c r="E248" s="48" t="n"/>
    </row>
    <row r="249">
      <c r="A249" s="46" t="n"/>
      <c r="B249" s="33" t="n"/>
      <c r="C249" s="26" t="n"/>
      <c r="D249" s="47" t="n"/>
      <c r="E249" s="48" t="n"/>
    </row>
    <row r="250">
      <c r="A250" s="46" t="n"/>
      <c r="B250" s="33" t="n"/>
      <c r="C250" s="26" t="n"/>
      <c r="D250" s="47" t="n"/>
      <c r="E250" s="48" t="n"/>
    </row>
    <row r="251">
      <c r="A251" s="46" t="n"/>
      <c r="B251" s="33" t="n"/>
      <c r="C251" s="26" t="n"/>
      <c r="D251" s="47" t="n"/>
      <c r="E251" s="48" t="n"/>
    </row>
    <row r="252">
      <c r="A252" s="46" t="n"/>
      <c r="B252" s="33" t="n"/>
      <c r="C252" s="26" t="n"/>
      <c r="D252" s="47" t="n"/>
      <c r="E252" s="48" t="n"/>
    </row>
    <row r="253">
      <c r="A253" s="46" t="n"/>
      <c r="B253" s="33" t="n"/>
      <c r="C253" s="26" t="n"/>
      <c r="D253" s="47" t="n"/>
      <c r="E253" s="48" t="n"/>
    </row>
    <row r="254">
      <c r="A254" s="46" t="n"/>
      <c r="B254" s="33" t="n"/>
      <c r="C254" s="26" t="n"/>
      <c r="D254" s="47" t="n"/>
      <c r="E254" s="48" t="n"/>
    </row>
    <row r="255">
      <c r="A255" s="46" t="n"/>
      <c r="B255" s="33" t="n"/>
      <c r="C255" s="26" t="n"/>
      <c r="D255" s="47" t="n"/>
      <c r="E255" s="48" t="n"/>
    </row>
    <row r="256">
      <c r="A256" s="46" t="n"/>
      <c r="B256" s="33" t="n"/>
      <c r="C256" s="26" t="n"/>
      <c r="D256" s="47" t="n"/>
      <c r="E256" s="48" t="n"/>
    </row>
    <row r="257">
      <c r="A257" s="46" t="n"/>
      <c r="B257" s="33" t="n"/>
      <c r="C257" s="26" t="n"/>
      <c r="D257" s="47" t="n"/>
      <c r="E257" s="48" t="n"/>
    </row>
    <row r="258">
      <c r="A258" s="46" t="n"/>
      <c r="B258" s="33" t="n"/>
      <c r="C258" s="26" t="n"/>
      <c r="D258" s="47" t="n"/>
      <c r="E258" s="48" t="n"/>
    </row>
    <row r="259">
      <c r="A259" s="46" t="n"/>
      <c r="B259" s="33" t="n"/>
      <c r="C259" s="26" t="n"/>
      <c r="D259" s="47" t="n"/>
      <c r="E259" s="48" t="n"/>
    </row>
    <row r="260">
      <c r="A260" s="46" t="n"/>
      <c r="B260" s="33" t="n"/>
      <c r="C260" s="26" t="n"/>
      <c r="D260" s="47" t="n"/>
      <c r="E260" s="48" t="n"/>
    </row>
    <row r="261">
      <c r="A261" s="46" t="n"/>
      <c r="B261" s="33" t="n"/>
      <c r="C261" s="26" t="n"/>
      <c r="D261" s="47" t="n"/>
      <c r="E261" s="48" t="n"/>
    </row>
    <row r="262">
      <c r="A262" s="46" t="n"/>
      <c r="B262" s="33" t="n"/>
      <c r="C262" s="26" t="n"/>
      <c r="D262" s="47" t="n"/>
      <c r="E262" s="48" t="n"/>
    </row>
    <row r="263">
      <c r="A263" s="46" t="n"/>
      <c r="B263" s="33" t="n"/>
      <c r="C263" s="26" t="n"/>
      <c r="D263" s="47" t="n"/>
      <c r="E263" s="48" t="n"/>
    </row>
    <row r="264">
      <c r="A264" s="46" t="n"/>
      <c r="B264" s="33" t="n"/>
      <c r="C264" s="26" t="n"/>
      <c r="D264" s="47" t="n"/>
      <c r="E264" s="48" t="n"/>
    </row>
    <row r="265">
      <c r="A265" s="46" t="n"/>
      <c r="B265" s="33" t="n"/>
      <c r="C265" s="26" t="n"/>
      <c r="D265" s="47" t="n"/>
      <c r="E265" s="48" t="n"/>
    </row>
    <row r="266">
      <c r="A266" s="46" t="n"/>
      <c r="B266" s="33" t="n"/>
      <c r="C266" s="26" t="n"/>
      <c r="D266" s="47" t="n"/>
      <c r="E266" s="48" t="n"/>
    </row>
    <row r="267">
      <c r="A267" s="46" t="n"/>
      <c r="B267" s="33" t="n"/>
      <c r="C267" s="26" t="n"/>
      <c r="D267" s="47" t="n"/>
      <c r="E267" s="48" t="n"/>
    </row>
    <row r="268">
      <c r="A268" s="46" t="n"/>
      <c r="B268" s="33" t="n"/>
      <c r="C268" s="26" t="n"/>
      <c r="D268" s="47" t="n"/>
      <c r="E268" s="48" t="n"/>
    </row>
    <row r="269">
      <c r="A269" s="46" t="n"/>
      <c r="B269" s="33" t="n"/>
      <c r="C269" s="26" t="n"/>
      <c r="D269" s="47" t="n"/>
      <c r="E269" s="48" t="n"/>
    </row>
    <row r="270">
      <c r="A270" s="46" t="n"/>
      <c r="B270" s="33" t="n"/>
      <c r="C270" s="26" t="n"/>
      <c r="D270" s="47" t="n"/>
      <c r="E270" s="48" t="n"/>
    </row>
    <row r="271">
      <c r="A271" s="46" t="n"/>
      <c r="B271" s="33" t="n"/>
      <c r="C271" s="26" t="n"/>
      <c r="D271" s="47" t="n"/>
      <c r="E271" s="48" t="n"/>
    </row>
    <row r="272">
      <c r="A272" s="46" t="n"/>
      <c r="B272" s="33" t="n"/>
      <c r="C272" s="26" t="n"/>
      <c r="D272" s="47" t="n"/>
      <c r="E272" s="48" t="n"/>
    </row>
    <row r="273">
      <c r="A273" s="46" t="n"/>
      <c r="B273" s="33" t="n"/>
      <c r="C273" s="26" t="n"/>
      <c r="D273" s="47" t="n"/>
      <c r="E273" s="48" t="n"/>
    </row>
    <row r="274">
      <c r="A274" s="46" t="n"/>
      <c r="B274" s="33" t="n"/>
      <c r="C274" s="26" t="n"/>
      <c r="D274" s="47" t="n"/>
      <c r="E274" s="48" t="n"/>
    </row>
    <row r="275">
      <c r="A275" s="46" t="n"/>
      <c r="B275" s="33" t="n"/>
      <c r="C275" s="26" t="n"/>
      <c r="D275" s="47" t="n"/>
      <c r="E275" s="48" t="n"/>
    </row>
    <row r="276">
      <c r="A276" s="46" t="n"/>
      <c r="B276" s="33" t="n"/>
      <c r="C276" s="26" t="n"/>
      <c r="D276" s="47" t="n"/>
      <c r="E276" s="48" t="n"/>
    </row>
    <row r="277">
      <c r="A277" s="46" t="n"/>
      <c r="B277" s="33" t="n"/>
      <c r="C277" s="26" t="n"/>
      <c r="D277" s="47" t="n"/>
      <c r="E277" s="48" t="n"/>
    </row>
    <row r="278">
      <c r="A278" s="46" t="n"/>
      <c r="B278" s="33" t="n"/>
      <c r="C278" s="26" t="n"/>
      <c r="D278" s="47" t="n"/>
      <c r="E278" s="48" t="n"/>
    </row>
    <row r="279">
      <c r="A279" s="46" t="n"/>
      <c r="B279" s="33" t="n"/>
      <c r="C279" s="26" t="n"/>
      <c r="D279" s="47" t="n"/>
      <c r="E279" s="48" t="n"/>
    </row>
    <row r="280">
      <c r="A280" s="46" t="n"/>
      <c r="B280" s="33" t="n"/>
      <c r="C280" s="26" t="n"/>
      <c r="D280" s="47" t="n"/>
      <c r="E280" s="48" t="n"/>
    </row>
    <row r="281">
      <c r="A281" s="46" t="n"/>
      <c r="B281" s="33" t="n"/>
      <c r="C281" s="26" t="n"/>
      <c r="D281" s="47" t="n"/>
      <c r="E281" s="48" t="n"/>
    </row>
    <row r="282">
      <c r="A282" s="46" t="n"/>
      <c r="B282" s="33" t="n"/>
      <c r="C282" s="26" t="n"/>
      <c r="D282" s="47" t="n"/>
      <c r="E282" s="48" t="n"/>
    </row>
    <row r="283">
      <c r="A283" s="46" t="n"/>
      <c r="B283" s="33" t="n"/>
      <c r="C283" s="26" t="n"/>
      <c r="D283" s="47" t="n"/>
      <c r="E283" s="48" t="n"/>
    </row>
    <row r="284">
      <c r="A284" s="46" t="n"/>
      <c r="B284" s="33" t="n"/>
      <c r="C284" s="26" t="n"/>
      <c r="D284" s="47" t="n"/>
      <c r="E284" s="48" t="n"/>
    </row>
    <row r="285">
      <c r="A285" s="46" t="n"/>
      <c r="B285" s="33" t="n"/>
      <c r="C285" s="26" t="n"/>
      <c r="D285" s="47" t="n"/>
      <c r="E285" s="48" t="n"/>
    </row>
    <row r="286">
      <c r="A286" s="46" t="n"/>
      <c r="B286" s="33" t="n"/>
      <c r="C286" s="26" t="n"/>
      <c r="D286" s="47" t="n"/>
      <c r="E286" s="48" t="n"/>
    </row>
    <row r="287">
      <c r="A287" s="46" t="n"/>
      <c r="B287" s="33" t="n"/>
      <c r="C287" s="26" t="n"/>
      <c r="D287" s="47" t="n"/>
      <c r="E287" s="48" t="n"/>
    </row>
    <row r="288">
      <c r="A288" s="46" t="n"/>
      <c r="B288" s="33" t="n"/>
      <c r="C288" s="26" t="n"/>
      <c r="D288" s="47" t="n"/>
      <c r="E288" s="48" t="n"/>
    </row>
    <row r="289">
      <c r="A289" s="46" t="n"/>
      <c r="B289" s="33" t="n"/>
      <c r="C289" s="26" t="n"/>
      <c r="D289" s="47" t="n"/>
      <c r="E289" s="48" t="n"/>
    </row>
    <row r="290">
      <c r="A290" s="46" t="n"/>
      <c r="B290" s="33" t="n"/>
      <c r="C290" s="26" t="n"/>
      <c r="D290" s="47" t="n"/>
      <c r="E290" s="48" t="n"/>
    </row>
    <row r="291">
      <c r="A291" s="46" t="n"/>
      <c r="B291" s="33" t="n"/>
      <c r="C291" s="26" t="n"/>
      <c r="D291" s="47" t="n"/>
      <c r="E291" s="48" t="n"/>
    </row>
    <row r="292">
      <c r="A292" s="46" t="n"/>
      <c r="B292" s="33" t="n"/>
      <c r="C292" s="26" t="n"/>
      <c r="D292" s="47" t="n"/>
      <c r="E292" s="48" t="n"/>
    </row>
    <row r="293">
      <c r="A293" s="46" t="n"/>
      <c r="B293" s="33" t="n"/>
      <c r="C293" s="26" t="n"/>
      <c r="D293" s="47" t="n"/>
      <c r="E293" s="48" t="n"/>
    </row>
    <row r="294">
      <c r="A294" s="46" t="n"/>
      <c r="B294" s="33" t="n"/>
      <c r="C294" s="26" t="n"/>
      <c r="D294" s="47" t="n"/>
      <c r="E294" s="48" t="n"/>
    </row>
    <row r="295">
      <c r="A295" s="46" t="n"/>
      <c r="B295" s="33" t="n"/>
      <c r="C295" s="26" t="n"/>
      <c r="D295" s="47" t="n"/>
      <c r="E295" s="48" t="n"/>
    </row>
    <row r="296">
      <c r="A296" s="46" t="n"/>
      <c r="B296" s="33" t="n"/>
      <c r="C296" s="26" t="n"/>
      <c r="D296" s="47" t="n"/>
      <c r="E296" s="48" t="n"/>
    </row>
    <row r="297">
      <c r="A297" s="46" t="n"/>
      <c r="B297" s="33" t="n"/>
      <c r="C297" s="26" t="n"/>
      <c r="D297" s="47" t="n"/>
      <c r="E297" s="48" t="n"/>
    </row>
    <row r="298">
      <c r="A298" s="46" t="n"/>
      <c r="B298" s="33" t="n"/>
      <c r="C298" s="26" t="n"/>
      <c r="D298" s="47" t="n"/>
      <c r="E298" s="48" t="n"/>
    </row>
    <row r="299">
      <c r="A299" s="46" t="n"/>
      <c r="B299" s="33" t="n"/>
      <c r="C299" s="26" t="n"/>
      <c r="D299" s="47" t="n"/>
      <c r="E299" s="48" t="n"/>
    </row>
    <row r="300">
      <c r="A300" s="46" t="n"/>
      <c r="B300" s="33" t="n"/>
      <c r="C300" s="26" t="n"/>
      <c r="D300" s="47" t="n"/>
      <c r="E300" s="48" t="n"/>
    </row>
    <row r="301">
      <c r="A301" s="46" t="n"/>
      <c r="B301" s="33" t="n"/>
      <c r="C301" s="26" t="n"/>
      <c r="D301" s="47" t="n"/>
      <c r="E301" s="48" t="n"/>
    </row>
    <row r="302">
      <c r="A302" s="46" t="n"/>
      <c r="B302" s="33" t="n"/>
      <c r="C302" s="26" t="n"/>
      <c r="D302" s="47" t="n"/>
      <c r="E302" s="48" t="n"/>
    </row>
    <row r="303">
      <c r="A303" s="46" t="n"/>
      <c r="B303" s="33" t="n"/>
      <c r="C303" s="26" t="n"/>
      <c r="D303" s="47" t="n"/>
      <c r="E303" s="48" t="n"/>
    </row>
    <row r="304">
      <c r="A304" s="46" t="n"/>
      <c r="B304" s="33" t="n"/>
      <c r="C304" s="26" t="n"/>
      <c r="D304" s="47" t="n"/>
      <c r="E304" s="48" t="n"/>
    </row>
    <row r="305">
      <c r="A305" s="46" t="n"/>
      <c r="B305" s="33" t="n"/>
      <c r="C305" s="26" t="n"/>
      <c r="D305" s="47" t="n"/>
      <c r="E305" s="48" t="n"/>
    </row>
    <row r="306">
      <c r="A306" s="46" t="n"/>
      <c r="B306" s="33" t="n"/>
      <c r="C306" s="26" t="n"/>
      <c r="D306" s="47" t="n"/>
      <c r="E306" s="48" t="n"/>
    </row>
    <row r="307">
      <c r="A307" s="46" t="n"/>
      <c r="B307" s="33" t="n"/>
      <c r="C307" s="26" t="n"/>
      <c r="D307" s="47" t="n"/>
      <c r="E307" s="48" t="n"/>
    </row>
    <row r="308">
      <c r="A308" s="46" t="n"/>
      <c r="B308" s="33" t="n"/>
      <c r="C308" s="26" t="n"/>
      <c r="D308" s="47" t="n"/>
      <c r="E308" s="48" t="n"/>
    </row>
    <row r="309">
      <c r="A309" s="46" t="n"/>
      <c r="B309" s="33" t="n"/>
      <c r="C309" s="26" t="n"/>
      <c r="D309" s="47" t="n"/>
      <c r="E309" s="48" t="n"/>
    </row>
    <row r="310">
      <c r="A310" s="46" t="n"/>
      <c r="B310" s="33" t="n"/>
      <c r="C310" s="26" t="n"/>
      <c r="D310" s="47" t="n"/>
      <c r="E310" s="48" t="n"/>
    </row>
    <row r="311">
      <c r="A311" s="46" t="n"/>
      <c r="B311" s="33" t="n"/>
      <c r="C311" s="26" t="n"/>
      <c r="D311" s="47" t="n"/>
      <c r="E311" s="48" t="n"/>
    </row>
    <row r="312">
      <c r="A312" s="46" t="n"/>
      <c r="B312" s="33" t="n"/>
      <c r="C312" s="26" t="n"/>
      <c r="D312" s="47" t="n"/>
      <c r="E312" s="48" t="n"/>
    </row>
    <row r="313">
      <c r="A313" s="46" t="n"/>
      <c r="B313" s="33" t="n"/>
      <c r="C313" s="26" t="n"/>
      <c r="D313" s="47" t="n"/>
      <c r="E313" s="48" t="n"/>
    </row>
    <row r="314">
      <c r="A314" s="46" t="n"/>
      <c r="B314" s="33" t="n"/>
      <c r="C314" s="26" t="n"/>
      <c r="D314" s="47" t="n"/>
      <c r="E314" s="48" t="n"/>
    </row>
    <row r="315">
      <c r="A315" s="46" t="n"/>
      <c r="B315" s="33" t="n"/>
      <c r="C315" s="26" t="n"/>
      <c r="D315" s="47" t="n"/>
      <c r="E315" s="48" t="n"/>
    </row>
    <row r="316">
      <c r="A316" s="46" t="n"/>
      <c r="B316" s="33" t="n"/>
      <c r="C316" s="26" t="n"/>
      <c r="D316" s="47" t="n"/>
      <c r="E316" s="48" t="n"/>
    </row>
    <row r="317">
      <c r="A317" s="46" t="n"/>
      <c r="B317" s="33" t="n"/>
      <c r="C317" s="26" t="n"/>
      <c r="D317" s="47" t="n"/>
      <c r="E317" s="48" t="n"/>
    </row>
    <row r="318">
      <c r="A318" s="46" t="n"/>
      <c r="B318" s="33" t="n"/>
      <c r="C318" s="26" t="n"/>
      <c r="D318" s="47" t="n"/>
      <c r="E318" s="48" t="n"/>
    </row>
    <row r="319">
      <c r="A319" s="46" t="n"/>
      <c r="B319" s="33" t="n"/>
      <c r="C319" s="26" t="n"/>
      <c r="D319" s="47" t="n"/>
      <c r="E319" s="48" t="n"/>
    </row>
    <row r="320">
      <c r="A320" s="46" t="n"/>
      <c r="B320" s="33" t="n"/>
      <c r="C320" s="26" t="n"/>
      <c r="D320" s="47" t="n"/>
      <c r="E320" s="48" t="n"/>
    </row>
    <row r="321">
      <c r="A321" s="46" t="n"/>
      <c r="B321" s="33" t="n"/>
      <c r="C321" s="26" t="n"/>
      <c r="D321" s="47" t="n"/>
      <c r="E321" s="48" t="n"/>
    </row>
    <row r="322">
      <c r="A322" s="46" t="n"/>
      <c r="B322" s="33" t="n"/>
      <c r="C322" s="26" t="n"/>
      <c r="D322" s="47" t="n"/>
      <c r="E322" s="48" t="n"/>
    </row>
    <row r="323">
      <c r="A323" s="46" t="n"/>
      <c r="B323" s="33" t="n"/>
      <c r="C323" s="26" t="n"/>
      <c r="D323" s="47" t="n"/>
      <c r="E323" s="48" t="n"/>
    </row>
    <row r="324">
      <c r="A324" s="46" t="n"/>
      <c r="B324" s="33" t="n"/>
      <c r="C324" s="26" t="n"/>
      <c r="D324" s="47" t="n"/>
      <c r="E324" s="48" t="n"/>
    </row>
    <row r="325">
      <c r="A325" s="46" t="n"/>
      <c r="B325" s="33" t="n"/>
      <c r="C325" s="26" t="n"/>
      <c r="D325" s="47" t="n"/>
      <c r="E325" s="48" t="n"/>
    </row>
    <row r="326">
      <c r="A326" s="46" t="n"/>
      <c r="B326" s="33" t="n"/>
      <c r="C326" s="26" t="n"/>
      <c r="D326" s="47" t="n"/>
      <c r="E326" s="48" t="n"/>
    </row>
    <row r="327">
      <c r="A327" s="46" t="n"/>
      <c r="B327" s="33" t="n"/>
      <c r="C327" s="26" t="n"/>
      <c r="D327" s="47" t="n"/>
      <c r="E327" s="48" t="n"/>
    </row>
    <row r="328">
      <c r="A328" s="46" t="n"/>
      <c r="B328" s="33" t="n"/>
      <c r="C328" s="26" t="n"/>
      <c r="D328" s="47" t="n"/>
      <c r="E328" s="48" t="n"/>
    </row>
    <row r="329">
      <c r="A329" s="46" t="n"/>
      <c r="B329" s="33" t="n"/>
      <c r="C329" s="26" t="n"/>
      <c r="D329" s="47" t="n"/>
      <c r="E329" s="48" t="n"/>
    </row>
    <row r="330">
      <c r="A330" s="46" t="n"/>
      <c r="B330" s="33" t="n"/>
      <c r="C330" s="26" t="n"/>
      <c r="D330" s="47" t="n"/>
      <c r="E330" s="48" t="n"/>
    </row>
    <row r="331">
      <c r="A331" s="46" t="n"/>
      <c r="B331" s="33" t="n"/>
      <c r="C331" s="26" t="n"/>
      <c r="D331" s="47" t="n"/>
      <c r="E331" s="48" t="n"/>
    </row>
    <row r="332">
      <c r="A332" s="46" t="n"/>
      <c r="B332" s="33" t="n"/>
      <c r="C332" s="26" t="n"/>
      <c r="D332" s="47" t="n"/>
      <c r="E332" s="48" t="n"/>
    </row>
    <row r="333">
      <c r="A333" s="46" t="n"/>
      <c r="B333" s="33" t="n"/>
      <c r="C333" s="26" t="n"/>
      <c r="D333" s="47" t="n"/>
      <c r="E333" s="48" t="n"/>
    </row>
    <row r="334">
      <c r="A334" s="46" t="n"/>
      <c r="B334" s="33" t="n"/>
      <c r="C334" s="26" t="n"/>
      <c r="D334" s="47" t="n"/>
      <c r="E334" s="48" t="n"/>
    </row>
    <row r="335">
      <c r="A335" s="46" t="n"/>
      <c r="B335" s="33" t="n"/>
      <c r="C335" s="26" t="n"/>
      <c r="D335" s="47" t="n"/>
      <c r="E335" s="48" t="n"/>
    </row>
    <row r="336">
      <c r="A336" s="46" t="n"/>
      <c r="B336" s="33" t="n"/>
      <c r="C336" s="26" t="n"/>
      <c r="D336" s="47" t="n"/>
      <c r="E336" s="48" t="n"/>
    </row>
    <row r="337">
      <c r="A337" s="46" t="n"/>
      <c r="B337" s="33" t="n"/>
      <c r="C337" s="26" t="n"/>
      <c r="D337" s="47" t="n"/>
      <c r="E337" s="48" t="n"/>
    </row>
    <row r="338">
      <c r="A338" s="46" t="n"/>
      <c r="B338" s="33" t="n"/>
      <c r="C338" s="26" t="n"/>
      <c r="D338" s="47" t="n"/>
      <c r="E338" s="48" t="n"/>
    </row>
    <row r="339">
      <c r="A339" s="46" t="n"/>
      <c r="B339" s="33" t="n"/>
      <c r="C339" s="26" t="n"/>
      <c r="D339" s="47" t="n"/>
      <c r="E339" s="48" t="n"/>
    </row>
    <row r="340">
      <c r="A340" s="46" t="n"/>
      <c r="B340" s="33" t="n"/>
      <c r="C340" s="26" t="n"/>
      <c r="D340" s="47" t="n"/>
      <c r="E340" s="48" t="n"/>
    </row>
    <row r="341">
      <c r="A341" s="46" t="n"/>
      <c r="B341" s="33" t="n"/>
      <c r="C341" s="26" t="n"/>
      <c r="D341" s="47" t="n"/>
      <c r="E341" s="48" t="n"/>
    </row>
    <row r="342">
      <c r="A342" s="46" t="n"/>
      <c r="B342" s="33" t="n"/>
      <c r="C342" s="26" t="n"/>
      <c r="D342" s="47" t="n"/>
      <c r="E342" s="48" t="n"/>
    </row>
    <row r="343">
      <c r="A343" s="46" t="n"/>
      <c r="B343" s="33" t="n"/>
      <c r="C343" s="26" t="n"/>
      <c r="D343" s="47" t="n"/>
      <c r="E343" s="48" t="n"/>
    </row>
    <row r="344">
      <c r="A344" s="46" t="n"/>
      <c r="B344" s="33" t="n"/>
      <c r="C344" s="26" t="n"/>
      <c r="D344" s="47" t="n"/>
      <c r="E344" s="48" t="n"/>
    </row>
    <row r="345">
      <c r="A345" s="46" t="n"/>
      <c r="B345" s="33" t="n"/>
      <c r="C345" s="26" t="n"/>
      <c r="D345" s="47" t="n"/>
      <c r="E345" s="48" t="n"/>
    </row>
    <row r="346">
      <c r="A346" s="46" t="n"/>
      <c r="B346" s="33" t="n"/>
      <c r="C346" s="26" t="n"/>
      <c r="D346" s="47" t="n"/>
      <c r="E346" s="48" t="n"/>
    </row>
    <row r="347">
      <c r="A347" s="46" t="n"/>
      <c r="B347" s="33" t="n"/>
      <c r="C347" s="26" t="n"/>
      <c r="D347" s="47" t="n"/>
      <c r="E347" s="48" t="n"/>
    </row>
    <row r="348">
      <c r="A348" s="46" t="n"/>
      <c r="B348" s="33" t="n"/>
      <c r="C348" s="26" t="n"/>
      <c r="D348" s="47" t="n"/>
      <c r="E348" s="48" t="n"/>
    </row>
    <row r="349">
      <c r="A349" s="46" t="n"/>
      <c r="B349" s="33" t="n"/>
      <c r="C349" s="26" t="n"/>
      <c r="D349" s="47" t="n"/>
      <c r="E349" s="48" t="n"/>
    </row>
    <row r="350">
      <c r="A350" s="46" t="n"/>
      <c r="B350" s="33" t="n"/>
      <c r="C350" s="26" t="n"/>
      <c r="D350" s="47" t="n"/>
      <c r="E350" s="48" t="n"/>
    </row>
    <row r="351">
      <c r="A351" s="46" t="n"/>
      <c r="B351" s="33" t="n"/>
      <c r="C351" s="26" t="n"/>
      <c r="D351" s="47" t="n"/>
      <c r="E351" s="48" t="n"/>
    </row>
    <row r="352">
      <c r="A352" s="46" t="n"/>
      <c r="B352" s="33" t="n"/>
      <c r="C352" s="26" t="n"/>
      <c r="D352" s="47" t="n"/>
      <c r="E352" s="48" t="n"/>
    </row>
    <row r="353">
      <c r="A353" s="46" t="n"/>
      <c r="B353" s="33" t="n"/>
      <c r="C353" s="26" t="n"/>
      <c r="D353" s="47" t="n"/>
      <c r="E353" s="48" t="n"/>
    </row>
    <row r="354">
      <c r="A354" s="46" t="n"/>
      <c r="B354" s="33" t="n"/>
      <c r="C354" s="26" t="n"/>
      <c r="D354" s="47" t="n"/>
      <c r="E354" s="48" t="n"/>
    </row>
    <row r="355">
      <c r="A355" s="46" t="n"/>
      <c r="B355" s="33" t="n"/>
      <c r="C355" s="26" t="n"/>
      <c r="D355" s="47" t="n"/>
      <c r="E355" s="4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10" customWidth="1" min="4" max="4"/>
    <col width="12" customWidth="1" min="5" max="5"/>
    <col width="11" customWidth="1" min="6" max="6"/>
    <col width="9" customWidth="1" min="7" max="7"/>
    <col width="12" customWidth="1" min="8" max="8"/>
    <col width="11" customWidth="1" min="9" max="9"/>
  </cols>
  <sheetData>
    <row r="1">
      <c r="A1" s="1" t="inlineStr">
        <is>
          <t>국내상장 SCHD형 ETF vs SCHD</t>
        </is>
      </c>
    </row>
    <row r="3">
      <c r="A3" s="3" t="inlineStr">
        <is>
          <t>비교 기준일</t>
        </is>
      </c>
      <c r="B3" s="49" t="n">
        <v>46295</v>
      </c>
      <c r="C3" s="2" t="inlineStr">
        <is>
          <t>← 분기마다 분기 말일로 바꾸세요. 아래 표가 이 날짜 기준 최근 12개월로 다시 계산됩니다.</t>
        </is>
      </c>
    </row>
    <row r="5" ht="34" customHeight="1">
      <c r="A5" s="23" t="inlineStr">
        <is>
          <t>종목</t>
        </is>
      </c>
      <c r="B5" s="23" t="inlineStr">
        <is>
          <t>코드</t>
        </is>
      </c>
      <c r="C5" s="23" t="inlineStr">
        <is>
          <t>총보수
(연)</t>
        </is>
      </c>
      <c r="D5" s="23" t="inlineStr">
        <is>
          <t>분배
시점</t>
        </is>
      </c>
      <c r="E5" s="23" t="inlineStr">
        <is>
          <t>최근 분배일</t>
        </is>
      </c>
      <c r="F5" s="23" t="inlineStr">
        <is>
          <t>최근 분배금</t>
        </is>
      </c>
      <c r="G5" s="23" t="inlineStr">
        <is>
          <t>12개월
분배 횟수</t>
        </is>
      </c>
      <c r="H5" s="23" t="inlineStr">
        <is>
          <t>12개월
분배금 합계</t>
        </is>
      </c>
      <c r="I5" s="23" t="inlineStr">
        <is>
          <t>12개월
분배율 합계</t>
        </is>
      </c>
    </row>
    <row r="6">
      <c r="A6" s="12" t="inlineStr">
        <is>
          <t>TIGER 미국배당다우존스</t>
        </is>
      </c>
      <c r="B6" s="50" t="inlineStr">
        <is>
          <t>458730</t>
        </is>
      </c>
      <c r="C6" s="51" t="n">
        <v>0.0001</v>
      </c>
      <c r="D6" s="33" t="inlineStr">
        <is>
          <t>월말</t>
        </is>
      </c>
      <c r="E6" s="52">
        <f>_xlfn.MAXIFS(국내SCHD형_분배!$C$2:$C$355,국내SCHD형_분배!$A$2:$A$355,$B6,국내SCHD형_분배!$C$2:$C$355,"&lt;="&amp;$B$3)</f>
        <v/>
      </c>
      <c r="F6" s="53">
        <f>SUMIFS(국내SCHD형_분배!$D$2:$D$355,국내SCHD형_분배!$A$2:$A$355,$B6,국내SCHD형_분배!$C$2:$C$355,E6)</f>
        <v/>
      </c>
      <c r="G6" s="45">
        <f>COUNTIFS(국내SCHD형_분배!$A$2:$A$355,$B6,국내SCHD형_분배!$C$2:$C$355,"&gt;"&amp;EDATE($B$3,-12),국내SCHD형_분배!$C$2:$C$355,"&lt;="&amp;$B$3)</f>
        <v/>
      </c>
      <c r="H6" s="53">
        <f>SUMIFS(국내SCHD형_분배!$D$2:$D$355,국내SCHD형_분배!$A$2:$A$355,$B6,국내SCHD형_분배!$C$2:$C$355,"&gt;"&amp;EDATE($B$3,-12),국내SCHD형_분배!$C$2:$C$355,"&lt;="&amp;$B$3)</f>
        <v/>
      </c>
      <c r="I6" s="29">
        <f>SUMIFS(국내SCHD형_분배!$E$2:$E$355,국내SCHD형_분배!$A$2:$A$355,$B6,국내SCHD형_분배!$C$2:$C$355,"&gt;"&amp;EDATE($B$3,-12),국내SCHD형_분배!$C$2:$C$355,"&lt;="&amp;$B$3)</f>
        <v/>
      </c>
    </row>
    <row r="7">
      <c r="A7" s="12" t="inlineStr">
        <is>
          <t>SOL 미국배당다우존스</t>
        </is>
      </c>
      <c r="B7" s="50" t="inlineStr">
        <is>
          <t>446720</t>
        </is>
      </c>
      <c r="C7" s="51" t="n">
        <v>0.0001</v>
      </c>
      <c r="D7" s="33" t="inlineStr">
        <is>
          <t>월말</t>
        </is>
      </c>
      <c r="E7" s="52">
        <f>_xlfn.MAXIFS(국내SCHD형_분배!$C$2:$C$355,국내SCHD형_분배!$A$2:$A$355,$B7,국내SCHD형_분배!$C$2:$C$355,"&lt;="&amp;$B$3)</f>
        <v/>
      </c>
      <c r="F7" s="53">
        <f>SUMIFS(국내SCHD형_분배!$D$2:$D$355,국내SCHD형_분배!$A$2:$A$355,$B7,국내SCHD형_분배!$C$2:$C$355,E7)</f>
        <v/>
      </c>
      <c r="G7" s="45">
        <f>COUNTIFS(국내SCHD형_분배!$A$2:$A$355,$B7,국내SCHD형_분배!$C$2:$C$355,"&gt;"&amp;EDATE($B$3,-12),국내SCHD형_분배!$C$2:$C$355,"&lt;="&amp;$B$3)</f>
        <v/>
      </c>
      <c r="H7" s="53">
        <f>SUMIFS(국내SCHD형_분배!$D$2:$D$355,국내SCHD형_분배!$A$2:$A$355,$B7,국내SCHD형_분배!$C$2:$C$355,"&gt;"&amp;EDATE($B$3,-12),국내SCHD형_분배!$C$2:$C$355,"&lt;="&amp;$B$3)</f>
        <v/>
      </c>
      <c r="I7" s="29">
        <f>SUMIFS(국내SCHD형_분배!$E$2:$E$355,국내SCHD형_분배!$A$2:$A$355,$B7,국내SCHD형_분배!$C$2:$C$355,"&gt;"&amp;EDATE($B$3,-12),국내SCHD형_분배!$C$2:$C$355,"&lt;="&amp;$B$3)</f>
        <v/>
      </c>
    </row>
    <row r="8">
      <c r="A8" s="12" t="inlineStr">
        <is>
          <t>ACE 미국배당다우존스</t>
        </is>
      </c>
      <c r="B8" s="50" t="inlineStr">
        <is>
          <t>402970</t>
        </is>
      </c>
      <c r="C8" s="51" t="n">
        <v>0.0001</v>
      </c>
      <c r="D8" s="33" t="inlineStr">
        <is>
          <t>월중(15일)</t>
        </is>
      </c>
      <c r="E8" s="52">
        <f>_xlfn.MAXIFS(국내SCHD형_분배!$C$2:$C$355,국내SCHD형_분배!$A$2:$A$355,$B8,국내SCHD형_분배!$C$2:$C$355,"&lt;="&amp;$B$3)</f>
        <v/>
      </c>
      <c r="F8" s="53">
        <f>SUMIFS(국내SCHD형_분배!$D$2:$D$355,국내SCHD형_분배!$A$2:$A$355,$B8,국내SCHD형_분배!$C$2:$C$355,E8)</f>
        <v/>
      </c>
      <c r="G8" s="45">
        <f>COUNTIFS(국내SCHD형_분배!$A$2:$A$355,$B8,국내SCHD형_분배!$C$2:$C$355,"&gt;"&amp;EDATE($B$3,-12),국내SCHD형_분배!$C$2:$C$355,"&lt;="&amp;$B$3)</f>
        <v/>
      </c>
      <c r="H8" s="53">
        <f>SUMIFS(국내SCHD형_분배!$D$2:$D$355,국내SCHD형_분배!$A$2:$A$355,$B8,국내SCHD형_분배!$C$2:$C$355,"&gt;"&amp;EDATE($B$3,-12),국내SCHD형_분배!$C$2:$C$355,"&lt;="&amp;$B$3)</f>
        <v/>
      </c>
      <c r="I8" s="29">
        <f>SUMIFS(국내SCHD형_분배!$E$2:$E$355,국내SCHD형_분배!$A$2:$A$355,$B8,국내SCHD형_분배!$C$2:$C$355,"&gt;"&amp;EDATE($B$3,-12),국내SCHD형_분배!$C$2:$C$355,"&lt;="&amp;$B$3)</f>
        <v/>
      </c>
    </row>
    <row r="9">
      <c r="A9" s="12" t="inlineStr">
        <is>
          <t>KODEX 미국배당다우존스</t>
        </is>
      </c>
      <c r="B9" s="50" t="inlineStr">
        <is>
          <t>489250</t>
        </is>
      </c>
      <c r="C9" s="51" t="n">
        <v>9.899999999999999e-05</v>
      </c>
      <c r="D9" s="33" t="inlineStr">
        <is>
          <t>월중(15일)</t>
        </is>
      </c>
      <c r="E9" s="52">
        <f>_xlfn.MAXIFS(국내SCHD형_분배!$C$2:$C$355,국내SCHD형_분배!$A$2:$A$355,$B9,국내SCHD형_분배!$C$2:$C$355,"&lt;="&amp;$B$3)</f>
        <v/>
      </c>
      <c r="F9" s="53">
        <f>SUMIFS(국내SCHD형_분배!$D$2:$D$355,국내SCHD형_분배!$A$2:$A$355,$B9,국내SCHD형_분배!$C$2:$C$355,E9)</f>
        <v/>
      </c>
      <c r="G9" s="45">
        <f>COUNTIFS(국내SCHD형_분배!$A$2:$A$355,$B9,국내SCHD형_분배!$C$2:$C$355,"&gt;"&amp;EDATE($B$3,-12),국내SCHD형_분배!$C$2:$C$355,"&lt;="&amp;$B$3)</f>
        <v/>
      </c>
      <c r="H9" s="53">
        <f>SUMIFS(국내SCHD형_분배!$D$2:$D$355,국내SCHD형_분배!$A$2:$A$355,$B9,국내SCHD형_분배!$C$2:$C$355,"&gt;"&amp;EDATE($B$3,-12),국내SCHD형_분배!$C$2:$C$355,"&lt;="&amp;$B$3)</f>
        <v/>
      </c>
      <c r="I9" s="29">
        <f>SUMIFS(국내SCHD형_분배!$E$2:$E$355,국내SCHD형_분배!$A$2:$A$355,$B9,국내SCHD형_분배!$C$2:$C$355,"&gt;"&amp;EDATE($B$3,-12),국내SCHD형_분배!$C$2:$C$355,"&lt;="&amp;$B$3)</f>
        <v/>
      </c>
    </row>
    <row r="10">
      <c r="A10" s="54" t="inlineStr">
        <is>
          <t>SCHD (미국 직투, 참고)</t>
        </is>
      </c>
      <c r="B10" s="55" t="inlineStr">
        <is>
          <t>SCHD</t>
        </is>
      </c>
      <c r="C10" s="48" t="n">
        <v>0.0005999999999999999</v>
      </c>
      <c r="D10" s="55" t="inlineStr">
        <is>
          <t>분기(3·6·9·12월)</t>
        </is>
      </c>
      <c r="E10" s="56">
        <f>_xlfn.MAXIFS(SCHD_배당!$C$2:$C$90,SCHD_배당!$C$2:$C$90,"&lt;="&amp;$B$3)</f>
        <v/>
      </c>
      <c r="F10" s="57">
        <f>INDEX(SCHD_배당!$G$2:$G$90,MATCH(E10,SCHD_배당!$C$2:$C$90,0))</f>
        <v/>
      </c>
      <c r="G10" s="55">
        <f>COUNTIFS(SCHD_배당!$C$2:$C$90,"&gt;"&amp;EDATE($B$3,-12),SCHD_배당!$C$2:$C$90,"&lt;="&amp;$B$3)</f>
        <v/>
      </c>
      <c r="H10" s="57">
        <f>INDEX(SCHD_배당!$J$2:$J$90,MATCH(E10,SCHD_배당!$C$2:$C$90,0))</f>
        <v/>
      </c>
      <c r="I10" s="58">
        <f>INDEX(SCHD_배당!$L$2:$L$90,MATCH(E10,SCHD_배당!$C$2:$C$90,0))</f>
        <v/>
      </c>
    </row>
    <row r="11">
      <c r="A11" s="2" t="inlineStr">
        <is>
          <t>※ SCHD 행: 금액은 USD, 수익률은 최근 4회 배당 ÷ 배당락일 종가. 총보수 0.06%는 Schwab 공시.</t>
        </is>
      </c>
    </row>
    <row r="12">
      <c r="A12" s="2" t="inlineStr">
        <is>
          <t>※ 국내 ETF 총보수: KOFIA 금융투자협회 공시 2026-08-31. 실부담비용(기타비용·매매중개수수료 포함)은 이보다 높습니다.</t>
        </is>
      </c>
    </row>
    <row r="13">
      <c r="A13" s="2" t="inlineStr">
        <is>
          <t>※ 국내상장 해외주식형 ETF 분배금은 배당소득세 15.4% 과세 (연금저축·IRP·ISA에서는 과세이연/비과세 혜택).</t>
        </is>
      </c>
    </row>
    <row r="15">
      <c r="A15" s="3" t="inlineStr">
        <is>
          <t>분기별 분배금 합계 (기준일 기준 분기 귀속)</t>
        </is>
      </c>
    </row>
    <row r="16" ht="30" customHeight="1">
      <c r="A16" s="23" t="inlineStr">
        <is>
          <t>분기</t>
        </is>
      </c>
      <c r="B16" s="23" t="inlineStr">
        <is>
          <t>시작일</t>
        </is>
      </c>
      <c r="C16" s="23" t="inlineStr">
        <is>
          <t>종료일</t>
        </is>
      </c>
      <c r="D16" s="23" t="inlineStr">
        <is>
          <t>TIGER</t>
        </is>
      </c>
      <c r="E16" s="23" t="inlineStr">
        <is>
          <t>SOL</t>
        </is>
      </c>
      <c r="F16" s="23" t="inlineStr">
        <is>
          <t>ACE</t>
        </is>
      </c>
      <c r="G16" s="23" t="inlineStr">
        <is>
          <t>KODEX</t>
        </is>
      </c>
      <c r="H16" s="23" t="inlineStr">
        <is>
          <t>SCHD
(USD)</t>
        </is>
      </c>
      <c r="I16" s="23" t="inlineStr">
        <is>
          <t>SCHD 원화
(세전)</t>
        </is>
      </c>
    </row>
    <row r="17">
      <c r="A17" s="59" t="inlineStr">
        <is>
          <t>2022 Q1</t>
        </is>
      </c>
      <c r="B17" s="52" t="n">
        <v>44562</v>
      </c>
      <c r="C17" s="52">
        <f>EDATE(B17,3)-1</f>
        <v/>
      </c>
      <c r="D17" s="53">
        <f>IF(COUNTIFS(국내SCHD형_분배!$A$2:$A$355,"458730",국내SCHD형_분배!$C$2:$C$355,"&gt;="&amp;$B17,국내SCHD형_분배!$C$2:$C$355,"&lt;="&amp;$C17)=0,"",SUMIFS(국내SCHD형_분배!$D$2:$D$355,국내SCHD형_분배!$A$2:$A$355,"458730",국내SCHD형_분배!$C$2:$C$355,"&gt;="&amp;$B17,국내SCHD형_분배!$C$2:$C$355,"&lt;="&amp;$C17))</f>
        <v/>
      </c>
      <c r="E17" s="53">
        <f>IF(COUNTIFS(국내SCHD형_분배!$A$2:$A$355,"446720",국내SCHD형_분배!$C$2:$C$355,"&gt;="&amp;$B17,국내SCHD형_분배!$C$2:$C$355,"&lt;="&amp;$C17)=0,"",SUMIFS(국내SCHD형_분배!$D$2:$D$355,국내SCHD형_분배!$A$2:$A$355,"446720",국내SCHD형_분배!$C$2:$C$355,"&gt;="&amp;$B17,국내SCHD형_분배!$C$2:$C$355,"&lt;="&amp;$C17))</f>
        <v/>
      </c>
      <c r="F17" s="53">
        <f>IF(COUNTIFS(국내SCHD형_분배!$A$2:$A$355,"402970",국내SCHD형_분배!$C$2:$C$355,"&gt;="&amp;$B17,국내SCHD형_분배!$C$2:$C$355,"&lt;="&amp;$C17)=0,"",SUMIFS(국내SCHD형_분배!$D$2:$D$355,국내SCHD형_분배!$A$2:$A$355,"402970",국내SCHD형_분배!$C$2:$C$355,"&gt;="&amp;$B17,국내SCHD형_분배!$C$2:$C$355,"&lt;="&amp;$C17))</f>
        <v/>
      </c>
      <c r="G17" s="53">
        <f>IF(COUNTIFS(국내SCHD형_분배!$A$2:$A$355,"489250",국내SCHD형_분배!$C$2:$C$355,"&gt;="&amp;$B17,국내SCHD형_분배!$C$2:$C$355,"&lt;="&amp;$C17)=0,"",SUMIFS(국내SCHD형_분배!$D$2:$D$355,국내SCHD형_분배!$A$2:$A$355,"489250",국내SCHD형_분배!$C$2:$C$355,"&gt;="&amp;$B17,국내SCHD형_분배!$C$2:$C$355,"&lt;="&amp;$C17))</f>
        <v/>
      </c>
      <c r="H17" s="28">
        <f>IF(COUNTIFS(SCHD_배당!$C$2:$C$90,"&gt;="&amp;$B17,SCHD_배당!$C$2:$C$90,"&lt;="&amp;$C17)=0,"",SUMIFS(SCHD_배당!$G$2:$G$90,SCHD_배당!$C$2:$C$90,"&gt;="&amp;$B17,SCHD_배당!$C$2:$C$90,"&lt;="&amp;$C17))</f>
        <v/>
      </c>
      <c r="I17" s="32">
        <f>IF(H17="","",SUMIFS(SCHD_배당!$N$2:$N$90,SCHD_배당!$C$2:$C$90,"&gt;="&amp;$B17,SCHD_배당!$C$2:$C$90,"&lt;="&amp;$C17))</f>
        <v/>
      </c>
    </row>
    <row r="18">
      <c r="A18" s="59" t="inlineStr">
        <is>
          <t>2022 Q2</t>
        </is>
      </c>
      <c r="B18" s="52" t="n">
        <v>44652</v>
      </c>
      <c r="C18" s="52">
        <f>EDATE(B18,3)-1</f>
        <v/>
      </c>
      <c r="D18" s="53">
        <f>IF(COUNTIFS(국내SCHD형_분배!$A$2:$A$355,"458730",국내SCHD형_분배!$C$2:$C$355,"&gt;="&amp;$B18,국내SCHD형_분배!$C$2:$C$355,"&lt;="&amp;$C18)=0,"",SUMIFS(국내SCHD형_분배!$D$2:$D$355,국내SCHD형_분배!$A$2:$A$355,"458730",국내SCHD형_분배!$C$2:$C$355,"&gt;="&amp;$B18,국내SCHD형_분배!$C$2:$C$355,"&lt;="&amp;$C18))</f>
        <v/>
      </c>
      <c r="E18" s="53">
        <f>IF(COUNTIFS(국내SCHD형_분배!$A$2:$A$355,"446720",국내SCHD형_분배!$C$2:$C$355,"&gt;="&amp;$B18,국내SCHD형_분배!$C$2:$C$355,"&lt;="&amp;$C18)=0,"",SUMIFS(국내SCHD형_분배!$D$2:$D$355,국내SCHD형_분배!$A$2:$A$355,"446720",국내SCHD형_분배!$C$2:$C$355,"&gt;="&amp;$B18,국내SCHD형_분배!$C$2:$C$355,"&lt;="&amp;$C18))</f>
        <v/>
      </c>
      <c r="F18" s="53">
        <f>IF(COUNTIFS(국내SCHD형_분배!$A$2:$A$355,"402970",국내SCHD형_분배!$C$2:$C$355,"&gt;="&amp;$B18,국내SCHD형_분배!$C$2:$C$355,"&lt;="&amp;$C18)=0,"",SUMIFS(국내SCHD형_분배!$D$2:$D$355,국내SCHD형_분배!$A$2:$A$355,"402970",국내SCHD형_분배!$C$2:$C$355,"&gt;="&amp;$B18,국내SCHD형_분배!$C$2:$C$355,"&lt;="&amp;$C18))</f>
        <v/>
      </c>
      <c r="G18" s="53">
        <f>IF(COUNTIFS(국내SCHD형_분배!$A$2:$A$355,"489250",국내SCHD형_분배!$C$2:$C$355,"&gt;="&amp;$B18,국내SCHD형_분배!$C$2:$C$355,"&lt;="&amp;$C18)=0,"",SUMIFS(국내SCHD형_분배!$D$2:$D$355,국내SCHD형_분배!$A$2:$A$355,"489250",국내SCHD형_분배!$C$2:$C$355,"&gt;="&amp;$B18,국내SCHD형_분배!$C$2:$C$355,"&lt;="&amp;$C18))</f>
        <v/>
      </c>
      <c r="H18" s="28">
        <f>IF(COUNTIFS(SCHD_배당!$C$2:$C$90,"&gt;="&amp;$B18,SCHD_배당!$C$2:$C$90,"&lt;="&amp;$C18)=0,"",SUMIFS(SCHD_배당!$G$2:$G$90,SCHD_배당!$C$2:$C$90,"&gt;="&amp;$B18,SCHD_배당!$C$2:$C$90,"&lt;="&amp;$C18))</f>
        <v/>
      </c>
      <c r="I18" s="32">
        <f>IF(H18="","",SUMIFS(SCHD_배당!$N$2:$N$90,SCHD_배당!$C$2:$C$90,"&gt;="&amp;$B18,SCHD_배당!$C$2:$C$90,"&lt;="&amp;$C18))</f>
        <v/>
      </c>
    </row>
    <row r="19">
      <c r="A19" s="59" t="inlineStr">
        <is>
          <t>2022 Q3</t>
        </is>
      </c>
      <c r="B19" s="52" t="n">
        <v>44743</v>
      </c>
      <c r="C19" s="52">
        <f>EDATE(B19,3)-1</f>
        <v/>
      </c>
      <c r="D19" s="53">
        <f>IF(COUNTIFS(국내SCHD형_분배!$A$2:$A$355,"458730",국내SCHD형_분배!$C$2:$C$355,"&gt;="&amp;$B19,국내SCHD형_분배!$C$2:$C$355,"&lt;="&amp;$C19)=0,"",SUMIFS(국내SCHD형_분배!$D$2:$D$355,국내SCHD형_분배!$A$2:$A$355,"458730",국내SCHD형_분배!$C$2:$C$355,"&gt;="&amp;$B19,국내SCHD형_분배!$C$2:$C$355,"&lt;="&amp;$C19))</f>
        <v/>
      </c>
      <c r="E19" s="53">
        <f>IF(COUNTIFS(국내SCHD형_분배!$A$2:$A$355,"446720",국내SCHD형_분배!$C$2:$C$355,"&gt;="&amp;$B19,국내SCHD형_분배!$C$2:$C$355,"&lt;="&amp;$C19)=0,"",SUMIFS(국내SCHD형_분배!$D$2:$D$355,국내SCHD형_분배!$A$2:$A$355,"446720",국내SCHD형_분배!$C$2:$C$355,"&gt;="&amp;$B19,국내SCHD형_분배!$C$2:$C$355,"&lt;="&amp;$C19))</f>
        <v/>
      </c>
      <c r="F19" s="53">
        <f>IF(COUNTIFS(국내SCHD형_분배!$A$2:$A$355,"402970",국내SCHD형_분배!$C$2:$C$355,"&gt;="&amp;$B19,국내SCHD형_분배!$C$2:$C$355,"&lt;="&amp;$C19)=0,"",SUMIFS(국내SCHD형_분배!$D$2:$D$355,국내SCHD형_분배!$A$2:$A$355,"402970",국내SCHD형_분배!$C$2:$C$355,"&gt;="&amp;$B19,국내SCHD형_분배!$C$2:$C$355,"&lt;="&amp;$C19))</f>
        <v/>
      </c>
      <c r="G19" s="53">
        <f>IF(COUNTIFS(국내SCHD형_분배!$A$2:$A$355,"489250",국내SCHD형_분배!$C$2:$C$355,"&gt;="&amp;$B19,국내SCHD형_분배!$C$2:$C$355,"&lt;="&amp;$C19)=0,"",SUMIFS(국내SCHD형_분배!$D$2:$D$355,국내SCHD형_분배!$A$2:$A$355,"489250",국내SCHD형_분배!$C$2:$C$355,"&gt;="&amp;$B19,국내SCHD형_분배!$C$2:$C$355,"&lt;="&amp;$C19))</f>
        <v/>
      </c>
      <c r="H19" s="28">
        <f>IF(COUNTIFS(SCHD_배당!$C$2:$C$90,"&gt;="&amp;$B19,SCHD_배당!$C$2:$C$90,"&lt;="&amp;$C19)=0,"",SUMIFS(SCHD_배당!$G$2:$G$90,SCHD_배당!$C$2:$C$90,"&gt;="&amp;$B19,SCHD_배당!$C$2:$C$90,"&lt;="&amp;$C19))</f>
        <v/>
      </c>
      <c r="I19" s="32">
        <f>IF(H19="","",SUMIFS(SCHD_배당!$N$2:$N$90,SCHD_배당!$C$2:$C$90,"&gt;="&amp;$B19,SCHD_배당!$C$2:$C$90,"&lt;="&amp;$C19))</f>
        <v/>
      </c>
    </row>
    <row r="20">
      <c r="A20" s="59" t="inlineStr">
        <is>
          <t>2022 Q4</t>
        </is>
      </c>
      <c r="B20" s="52" t="n">
        <v>44835</v>
      </c>
      <c r="C20" s="52">
        <f>EDATE(B20,3)-1</f>
        <v/>
      </c>
      <c r="D20" s="53">
        <f>IF(COUNTIFS(국내SCHD형_분배!$A$2:$A$355,"458730",국내SCHD형_분배!$C$2:$C$355,"&gt;="&amp;$B20,국내SCHD형_분배!$C$2:$C$355,"&lt;="&amp;$C20)=0,"",SUMIFS(국내SCHD형_분배!$D$2:$D$355,국내SCHD형_분배!$A$2:$A$355,"458730",국내SCHD형_분배!$C$2:$C$355,"&gt;="&amp;$B20,국내SCHD형_분배!$C$2:$C$355,"&lt;="&amp;$C20))</f>
        <v/>
      </c>
      <c r="E20" s="53">
        <f>IF(COUNTIFS(국내SCHD형_분배!$A$2:$A$355,"446720",국내SCHD형_분배!$C$2:$C$355,"&gt;="&amp;$B20,국내SCHD형_분배!$C$2:$C$355,"&lt;="&amp;$C20)=0,"",SUMIFS(국내SCHD형_분배!$D$2:$D$355,국내SCHD형_분배!$A$2:$A$355,"446720",국내SCHD형_분배!$C$2:$C$355,"&gt;="&amp;$B20,국내SCHD형_분배!$C$2:$C$355,"&lt;="&amp;$C20))</f>
        <v/>
      </c>
      <c r="F20" s="53">
        <f>IF(COUNTIFS(국내SCHD형_분배!$A$2:$A$355,"402970",국내SCHD형_분배!$C$2:$C$355,"&gt;="&amp;$B20,국내SCHD형_분배!$C$2:$C$355,"&lt;="&amp;$C20)=0,"",SUMIFS(국내SCHD형_분배!$D$2:$D$355,국내SCHD형_분배!$A$2:$A$355,"402970",국내SCHD형_분배!$C$2:$C$355,"&gt;="&amp;$B20,국내SCHD형_분배!$C$2:$C$355,"&lt;="&amp;$C20))</f>
        <v/>
      </c>
      <c r="G20" s="53">
        <f>IF(COUNTIFS(국내SCHD형_분배!$A$2:$A$355,"489250",국내SCHD형_분배!$C$2:$C$355,"&gt;="&amp;$B20,국내SCHD형_분배!$C$2:$C$355,"&lt;="&amp;$C20)=0,"",SUMIFS(국내SCHD형_분배!$D$2:$D$355,국내SCHD형_분배!$A$2:$A$355,"489250",국내SCHD형_분배!$C$2:$C$355,"&gt;="&amp;$B20,국내SCHD형_분배!$C$2:$C$355,"&lt;="&amp;$C20))</f>
        <v/>
      </c>
      <c r="H20" s="28">
        <f>IF(COUNTIFS(SCHD_배당!$C$2:$C$90,"&gt;="&amp;$B20,SCHD_배당!$C$2:$C$90,"&lt;="&amp;$C20)=0,"",SUMIFS(SCHD_배당!$G$2:$G$90,SCHD_배당!$C$2:$C$90,"&gt;="&amp;$B20,SCHD_배당!$C$2:$C$90,"&lt;="&amp;$C20))</f>
        <v/>
      </c>
      <c r="I20" s="32">
        <f>IF(H20="","",SUMIFS(SCHD_배당!$N$2:$N$90,SCHD_배당!$C$2:$C$90,"&gt;="&amp;$B20,SCHD_배당!$C$2:$C$90,"&lt;="&amp;$C20))</f>
        <v/>
      </c>
    </row>
    <row r="21">
      <c r="A21" s="59" t="inlineStr">
        <is>
          <t>2023 Q1</t>
        </is>
      </c>
      <c r="B21" s="52" t="n">
        <v>44927</v>
      </c>
      <c r="C21" s="52">
        <f>EDATE(B21,3)-1</f>
        <v/>
      </c>
      <c r="D21" s="53">
        <f>IF(COUNTIFS(국내SCHD형_분배!$A$2:$A$355,"458730",국내SCHD형_분배!$C$2:$C$355,"&gt;="&amp;$B21,국내SCHD형_분배!$C$2:$C$355,"&lt;="&amp;$C21)=0,"",SUMIFS(국내SCHD형_분배!$D$2:$D$355,국내SCHD형_분배!$A$2:$A$355,"458730",국내SCHD형_분배!$C$2:$C$355,"&gt;="&amp;$B21,국내SCHD형_분배!$C$2:$C$355,"&lt;="&amp;$C21))</f>
        <v/>
      </c>
      <c r="E21" s="53">
        <f>IF(COUNTIFS(국내SCHD형_분배!$A$2:$A$355,"446720",국내SCHD형_분배!$C$2:$C$355,"&gt;="&amp;$B21,국내SCHD형_분배!$C$2:$C$355,"&lt;="&amp;$C21)=0,"",SUMIFS(국내SCHD형_분배!$D$2:$D$355,국내SCHD형_분배!$A$2:$A$355,"446720",국내SCHD형_분배!$C$2:$C$355,"&gt;="&amp;$B21,국내SCHD형_분배!$C$2:$C$355,"&lt;="&amp;$C21))</f>
        <v/>
      </c>
      <c r="F21" s="53">
        <f>IF(COUNTIFS(국내SCHD형_분배!$A$2:$A$355,"402970",국내SCHD형_분배!$C$2:$C$355,"&gt;="&amp;$B21,국내SCHD형_분배!$C$2:$C$355,"&lt;="&amp;$C21)=0,"",SUMIFS(국내SCHD형_분배!$D$2:$D$355,국내SCHD형_분배!$A$2:$A$355,"402970",국내SCHD형_분배!$C$2:$C$355,"&gt;="&amp;$B21,국내SCHD형_분배!$C$2:$C$355,"&lt;="&amp;$C21))</f>
        <v/>
      </c>
      <c r="G21" s="53">
        <f>IF(COUNTIFS(국내SCHD형_분배!$A$2:$A$355,"489250",국내SCHD형_분배!$C$2:$C$355,"&gt;="&amp;$B21,국내SCHD형_분배!$C$2:$C$355,"&lt;="&amp;$C21)=0,"",SUMIFS(국내SCHD형_분배!$D$2:$D$355,국내SCHD형_분배!$A$2:$A$355,"489250",국내SCHD형_분배!$C$2:$C$355,"&gt;="&amp;$B21,국내SCHD형_분배!$C$2:$C$355,"&lt;="&amp;$C21))</f>
        <v/>
      </c>
      <c r="H21" s="28">
        <f>IF(COUNTIFS(SCHD_배당!$C$2:$C$90,"&gt;="&amp;$B21,SCHD_배당!$C$2:$C$90,"&lt;="&amp;$C21)=0,"",SUMIFS(SCHD_배당!$G$2:$G$90,SCHD_배당!$C$2:$C$90,"&gt;="&amp;$B21,SCHD_배당!$C$2:$C$90,"&lt;="&amp;$C21))</f>
        <v/>
      </c>
      <c r="I21" s="32">
        <f>IF(H21="","",SUMIFS(SCHD_배당!$N$2:$N$90,SCHD_배당!$C$2:$C$90,"&gt;="&amp;$B21,SCHD_배당!$C$2:$C$90,"&lt;="&amp;$C21))</f>
        <v/>
      </c>
    </row>
    <row r="22">
      <c r="A22" s="59" t="inlineStr">
        <is>
          <t>2023 Q2</t>
        </is>
      </c>
      <c r="B22" s="52" t="n">
        <v>45017</v>
      </c>
      <c r="C22" s="52">
        <f>EDATE(B22,3)-1</f>
        <v/>
      </c>
      <c r="D22" s="53">
        <f>IF(COUNTIFS(국내SCHD형_분배!$A$2:$A$355,"458730",국내SCHD형_분배!$C$2:$C$355,"&gt;="&amp;$B22,국내SCHD형_분배!$C$2:$C$355,"&lt;="&amp;$C22)=0,"",SUMIFS(국내SCHD형_분배!$D$2:$D$355,국내SCHD형_분배!$A$2:$A$355,"458730",국내SCHD형_분배!$C$2:$C$355,"&gt;="&amp;$B22,국내SCHD형_분배!$C$2:$C$355,"&lt;="&amp;$C22))</f>
        <v/>
      </c>
      <c r="E22" s="53">
        <f>IF(COUNTIFS(국내SCHD형_분배!$A$2:$A$355,"446720",국내SCHD형_분배!$C$2:$C$355,"&gt;="&amp;$B22,국내SCHD형_분배!$C$2:$C$355,"&lt;="&amp;$C22)=0,"",SUMIFS(국내SCHD형_분배!$D$2:$D$355,국내SCHD형_분배!$A$2:$A$355,"446720",국내SCHD형_분배!$C$2:$C$355,"&gt;="&amp;$B22,국내SCHD형_분배!$C$2:$C$355,"&lt;="&amp;$C22))</f>
        <v/>
      </c>
      <c r="F22" s="53">
        <f>IF(COUNTIFS(국내SCHD형_분배!$A$2:$A$355,"402970",국내SCHD형_분배!$C$2:$C$355,"&gt;="&amp;$B22,국내SCHD형_분배!$C$2:$C$355,"&lt;="&amp;$C22)=0,"",SUMIFS(국내SCHD형_분배!$D$2:$D$355,국내SCHD형_분배!$A$2:$A$355,"402970",국내SCHD형_분배!$C$2:$C$355,"&gt;="&amp;$B22,국내SCHD형_분배!$C$2:$C$355,"&lt;="&amp;$C22))</f>
        <v/>
      </c>
      <c r="G22" s="53">
        <f>IF(COUNTIFS(국내SCHD형_분배!$A$2:$A$355,"489250",국내SCHD형_분배!$C$2:$C$355,"&gt;="&amp;$B22,국내SCHD형_분배!$C$2:$C$355,"&lt;="&amp;$C22)=0,"",SUMIFS(국내SCHD형_분배!$D$2:$D$355,국내SCHD형_분배!$A$2:$A$355,"489250",국내SCHD형_분배!$C$2:$C$355,"&gt;="&amp;$B22,국내SCHD형_분배!$C$2:$C$355,"&lt;="&amp;$C22))</f>
        <v/>
      </c>
      <c r="H22" s="28">
        <f>IF(COUNTIFS(SCHD_배당!$C$2:$C$90,"&gt;="&amp;$B22,SCHD_배당!$C$2:$C$90,"&lt;="&amp;$C22)=0,"",SUMIFS(SCHD_배당!$G$2:$G$90,SCHD_배당!$C$2:$C$90,"&gt;="&amp;$B22,SCHD_배당!$C$2:$C$90,"&lt;="&amp;$C22))</f>
        <v/>
      </c>
      <c r="I22" s="32">
        <f>IF(H22="","",SUMIFS(SCHD_배당!$N$2:$N$90,SCHD_배당!$C$2:$C$90,"&gt;="&amp;$B22,SCHD_배당!$C$2:$C$90,"&lt;="&amp;$C22))</f>
        <v/>
      </c>
    </row>
    <row r="23">
      <c r="A23" s="59" t="inlineStr">
        <is>
          <t>2023 Q3</t>
        </is>
      </c>
      <c r="B23" s="52" t="n">
        <v>45108</v>
      </c>
      <c r="C23" s="52">
        <f>EDATE(B23,3)-1</f>
        <v/>
      </c>
      <c r="D23" s="53">
        <f>IF(COUNTIFS(국내SCHD형_분배!$A$2:$A$355,"458730",국내SCHD형_분배!$C$2:$C$355,"&gt;="&amp;$B23,국내SCHD형_분배!$C$2:$C$355,"&lt;="&amp;$C23)=0,"",SUMIFS(국내SCHD형_분배!$D$2:$D$355,국내SCHD형_분배!$A$2:$A$355,"458730",국내SCHD형_분배!$C$2:$C$355,"&gt;="&amp;$B23,국내SCHD형_분배!$C$2:$C$355,"&lt;="&amp;$C23))</f>
        <v/>
      </c>
      <c r="E23" s="53">
        <f>IF(COUNTIFS(국내SCHD형_분배!$A$2:$A$355,"446720",국내SCHD형_분배!$C$2:$C$355,"&gt;="&amp;$B23,국내SCHD형_분배!$C$2:$C$355,"&lt;="&amp;$C23)=0,"",SUMIFS(국내SCHD형_분배!$D$2:$D$355,국내SCHD형_분배!$A$2:$A$355,"446720",국내SCHD형_분배!$C$2:$C$355,"&gt;="&amp;$B23,국내SCHD형_분배!$C$2:$C$355,"&lt;="&amp;$C23))</f>
        <v/>
      </c>
      <c r="F23" s="53">
        <f>IF(COUNTIFS(국내SCHD형_분배!$A$2:$A$355,"402970",국내SCHD형_분배!$C$2:$C$355,"&gt;="&amp;$B23,국내SCHD형_분배!$C$2:$C$355,"&lt;="&amp;$C23)=0,"",SUMIFS(국내SCHD형_분배!$D$2:$D$355,국내SCHD형_분배!$A$2:$A$355,"402970",국내SCHD형_분배!$C$2:$C$355,"&gt;="&amp;$B23,국내SCHD형_분배!$C$2:$C$355,"&lt;="&amp;$C23))</f>
        <v/>
      </c>
      <c r="G23" s="53">
        <f>IF(COUNTIFS(국내SCHD형_분배!$A$2:$A$355,"489250",국내SCHD형_분배!$C$2:$C$355,"&gt;="&amp;$B23,국내SCHD형_분배!$C$2:$C$355,"&lt;="&amp;$C23)=0,"",SUMIFS(국내SCHD형_분배!$D$2:$D$355,국내SCHD형_분배!$A$2:$A$355,"489250",국내SCHD형_분배!$C$2:$C$355,"&gt;="&amp;$B23,국내SCHD형_분배!$C$2:$C$355,"&lt;="&amp;$C23))</f>
        <v/>
      </c>
      <c r="H23" s="28">
        <f>IF(COUNTIFS(SCHD_배당!$C$2:$C$90,"&gt;="&amp;$B23,SCHD_배당!$C$2:$C$90,"&lt;="&amp;$C23)=0,"",SUMIFS(SCHD_배당!$G$2:$G$90,SCHD_배당!$C$2:$C$90,"&gt;="&amp;$B23,SCHD_배당!$C$2:$C$90,"&lt;="&amp;$C23))</f>
        <v/>
      </c>
      <c r="I23" s="32">
        <f>IF(H23="","",SUMIFS(SCHD_배당!$N$2:$N$90,SCHD_배당!$C$2:$C$90,"&gt;="&amp;$B23,SCHD_배당!$C$2:$C$90,"&lt;="&amp;$C23))</f>
        <v/>
      </c>
    </row>
    <row r="24">
      <c r="A24" s="59" t="inlineStr">
        <is>
          <t>2023 Q4</t>
        </is>
      </c>
      <c r="B24" s="52" t="n">
        <v>45200</v>
      </c>
      <c r="C24" s="52">
        <f>EDATE(B24,3)-1</f>
        <v/>
      </c>
      <c r="D24" s="53">
        <f>IF(COUNTIFS(국내SCHD형_분배!$A$2:$A$355,"458730",국내SCHD형_분배!$C$2:$C$355,"&gt;="&amp;$B24,국내SCHD형_분배!$C$2:$C$355,"&lt;="&amp;$C24)=0,"",SUMIFS(국내SCHD형_분배!$D$2:$D$355,국내SCHD형_분배!$A$2:$A$355,"458730",국내SCHD형_분배!$C$2:$C$355,"&gt;="&amp;$B24,국내SCHD형_분배!$C$2:$C$355,"&lt;="&amp;$C24))</f>
        <v/>
      </c>
      <c r="E24" s="53">
        <f>IF(COUNTIFS(국내SCHD형_분배!$A$2:$A$355,"446720",국내SCHD형_분배!$C$2:$C$355,"&gt;="&amp;$B24,국내SCHD형_분배!$C$2:$C$355,"&lt;="&amp;$C24)=0,"",SUMIFS(국내SCHD형_분배!$D$2:$D$355,국내SCHD형_분배!$A$2:$A$355,"446720",국내SCHD형_분배!$C$2:$C$355,"&gt;="&amp;$B24,국내SCHD형_분배!$C$2:$C$355,"&lt;="&amp;$C24))</f>
        <v/>
      </c>
      <c r="F24" s="53">
        <f>IF(COUNTIFS(국내SCHD형_분배!$A$2:$A$355,"402970",국내SCHD형_분배!$C$2:$C$355,"&gt;="&amp;$B24,국내SCHD형_분배!$C$2:$C$355,"&lt;="&amp;$C24)=0,"",SUMIFS(국내SCHD형_분배!$D$2:$D$355,국내SCHD형_분배!$A$2:$A$355,"402970",국내SCHD형_분배!$C$2:$C$355,"&gt;="&amp;$B24,국내SCHD형_분배!$C$2:$C$355,"&lt;="&amp;$C24))</f>
        <v/>
      </c>
      <c r="G24" s="53">
        <f>IF(COUNTIFS(국내SCHD형_분배!$A$2:$A$355,"489250",국내SCHD형_분배!$C$2:$C$355,"&gt;="&amp;$B24,국내SCHD형_분배!$C$2:$C$355,"&lt;="&amp;$C24)=0,"",SUMIFS(국내SCHD형_분배!$D$2:$D$355,국내SCHD형_분배!$A$2:$A$355,"489250",국내SCHD형_분배!$C$2:$C$355,"&gt;="&amp;$B24,국내SCHD형_분배!$C$2:$C$355,"&lt;="&amp;$C24))</f>
        <v/>
      </c>
      <c r="H24" s="28">
        <f>IF(COUNTIFS(SCHD_배당!$C$2:$C$90,"&gt;="&amp;$B24,SCHD_배당!$C$2:$C$90,"&lt;="&amp;$C24)=0,"",SUMIFS(SCHD_배당!$G$2:$G$90,SCHD_배당!$C$2:$C$90,"&gt;="&amp;$B24,SCHD_배당!$C$2:$C$90,"&lt;="&amp;$C24))</f>
        <v/>
      </c>
      <c r="I24" s="32">
        <f>IF(H24="","",SUMIFS(SCHD_배당!$N$2:$N$90,SCHD_배당!$C$2:$C$90,"&gt;="&amp;$B24,SCHD_배당!$C$2:$C$90,"&lt;="&amp;$C24))</f>
        <v/>
      </c>
    </row>
    <row r="25">
      <c r="A25" s="59" t="inlineStr">
        <is>
          <t>2024 Q1</t>
        </is>
      </c>
      <c r="B25" s="52" t="n">
        <v>45292</v>
      </c>
      <c r="C25" s="52">
        <f>EDATE(B25,3)-1</f>
        <v/>
      </c>
      <c r="D25" s="53">
        <f>IF(COUNTIFS(국내SCHD형_분배!$A$2:$A$355,"458730",국내SCHD형_분배!$C$2:$C$355,"&gt;="&amp;$B25,국내SCHD형_분배!$C$2:$C$355,"&lt;="&amp;$C25)=0,"",SUMIFS(국내SCHD형_분배!$D$2:$D$355,국내SCHD형_분배!$A$2:$A$355,"458730",국내SCHD형_분배!$C$2:$C$355,"&gt;="&amp;$B25,국내SCHD형_분배!$C$2:$C$355,"&lt;="&amp;$C25))</f>
        <v/>
      </c>
      <c r="E25" s="53">
        <f>IF(COUNTIFS(국내SCHD형_분배!$A$2:$A$355,"446720",국내SCHD형_분배!$C$2:$C$355,"&gt;="&amp;$B25,국내SCHD형_분배!$C$2:$C$355,"&lt;="&amp;$C25)=0,"",SUMIFS(국내SCHD형_분배!$D$2:$D$355,국내SCHD형_분배!$A$2:$A$355,"446720",국내SCHD형_분배!$C$2:$C$355,"&gt;="&amp;$B25,국내SCHD형_분배!$C$2:$C$355,"&lt;="&amp;$C25))</f>
        <v/>
      </c>
      <c r="F25" s="53">
        <f>IF(COUNTIFS(국내SCHD형_분배!$A$2:$A$355,"402970",국내SCHD형_분배!$C$2:$C$355,"&gt;="&amp;$B25,국내SCHD형_분배!$C$2:$C$355,"&lt;="&amp;$C25)=0,"",SUMIFS(국내SCHD형_분배!$D$2:$D$355,국내SCHD형_분배!$A$2:$A$355,"402970",국내SCHD형_분배!$C$2:$C$355,"&gt;="&amp;$B25,국내SCHD형_분배!$C$2:$C$355,"&lt;="&amp;$C25))</f>
        <v/>
      </c>
      <c r="G25" s="53">
        <f>IF(COUNTIFS(국내SCHD형_분배!$A$2:$A$355,"489250",국내SCHD형_분배!$C$2:$C$355,"&gt;="&amp;$B25,국내SCHD형_분배!$C$2:$C$355,"&lt;="&amp;$C25)=0,"",SUMIFS(국내SCHD형_분배!$D$2:$D$355,국내SCHD형_분배!$A$2:$A$355,"489250",국내SCHD형_분배!$C$2:$C$355,"&gt;="&amp;$B25,국내SCHD형_분배!$C$2:$C$355,"&lt;="&amp;$C25))</f>
        <v/>
      </c>
      <c r="H25" s="28">
        <f>IF(COUNTIFS(SCHD_배당!$C$2:$C$90,"&gt;="&amp;$B25,SCHD_배당!$C$2:$C$90,"&lt;="&amp;$C25)=0,"",SUMIFS(SCHD_배당!$G$2:$G$90,SCHD_배당!$C$2:$C$90,"&gt;="&amp;$B25,SCHD_배당!$C$2:$C$90,"&lt;="&amp;$C25))</f>
        <v/>
      </c>
      <c r="I25" s="32">
        <f>IF(H25="","",SUMIFS(SCHD_배당!$N$2:$N$90,SCHD_배당!$C$2:$C$90,"&gt;="&amp;$B25,SCHD_배당!$C$2:$C$90,"&lt;="&amp;$C25))</f>
        <v/>
      </c>
    </row>
    <row r="26">
      <c r="A26" s="59" t="inlineStr">
        <is>
          <t>2024 Q2</t>
        </is>
      </c>
      <c r="B26" s="52" t="n">
        <v>45383</v>
      </c>
      <c r="C26" s="52">
        <f>EDATE(B26,3)-1</f>
        <v/>
      </c>
      <c r="D26" s="53">
        <f>IF(COUNTIFS(국내SCHD형_분배!$A$2:$A$355,"458730",국내SCHD형_분배!$C$2:$C$355,"&gt;="&amp;$B26,국내SCHD형_분배!$C$2:$C$355,"&lt;="&amp;$C26)=0,"",SUMIFS(국내SCHD형_분배!$D$2:$D$355,국내SCHD형_분배!$A$2:$A$355,"458730",국내SCHD형_분배!$C$2:$C$355,"&gt;="&amp;$B26,국내SCHD형_분배!$C$2:$C$355,"&lt;="&amp;$C26))</f>
        <v/>
      </c>
      <c r="E26" s="53">
        <f>IF(COUNTIFS(국내SCHD형_분배!$A$2:$A$355,"446720",국내SCHD형_분배!$C$2:$C$355,"&gt;="&amp;$B26,국내SCHD형_분배!$C$2:$C$355,"&lt;="&amp;$C26)=0,"",SUMIFS(국내SCHD형_분배!$D$2:$D$355,국내SCHD형_분배!$A$2:$A$355,"446720",국내SCHD형_분배!$C$2:$C$355,"&gt;="&amp;$B26,국내SCHD형_분배!$C$2:$C$355,"&lt;="&amp;$C26))</f>
        <v/>
      </c>
      <c r="F26" s="53">
        <f>IF(COUNTIFS(국내SCHD형_분배!$A$2:$A$355,"402970",국내SCHD형_분배!$C$2:$C$355,"&gt;="&amp;$B26,국내SCHD형_분배!$C$2:$C$355,"&lt;="&amp;$C26)=0,"",SUMIFS(국내SCHD형_분배!$D$2:$D$355,국내SCHD형_분배!$A$2:$A$355,"402970",국내SCHD형_분배!$C$2:$C$355,"&gt;="&amp;$B26,국내SCHD형_분배!$C$2:$C$355,"&lt;="&amp;$C26))</f>
        <v/>
      </c>
      <c r="G26" s="53">
        <f>IF(COUNTIFS(국내SCHD형_분배!$A$2:$A$355,"489250",국내SCHD형_분배!$C$2:$C$355,"&gt;="&amp;$B26,국내SCHD형_분배!$C$2:$C$355,"&lt;="&amp;$C26)=0,"",SUMIFS(국내SCHD형_분배!$D$2:$D$355,국내SCHD형_분배!$A$2:$A$355,"489250",국내SCHD형_분배!$C$2:$C$355,"&gt;="&amp;$B26,국내SCHD형_분배!$C$2:$C$355,"&lt;="&amp;$C26))</f>
        <v/>
      </c>
      <c r="H26" s="28">
        <f>IF(COUNTIFS(SCHD_배당!$C$2:$C$90,"&gt;="&amp;$B26,SCHD_배당!$C$2:$C$90,"&lt;="&amp;$C26)=0,"",SUMIFS(SCHD_배당!$G$2:$G$90,SCHD_배당!$C$2:$C$90,"&gt;="&amp;$B26,SCHD_배당!$C$2:$C$90,"&lt;="&amp;$C26))</f>
        <v/>
      </c>
      <c r="I26" s="32">
        <f>IF(H26="","",SUMIFS(SCHD_배당!$N$2:$N$90,SCHD_배당!$C$2:$C$90,"&gt;="&amp;$B26,SCHD_배당!$C$2:$C$90,"&lt;="&amp;$C26))</f>
        <v/>
      </c>
    </row>
    <row r="27">
      <c r="A27" s="59" t="inlineStr">
        <is>
          <t>2024 Q3</t>
        </is>
      </c>
      <c r="B27" s="52" t="n">
        <v>45474</v>
      </c>
      <c r="C27" s="52">
        <f>EDATE(B27,3)-1</f>
        <v/>
      </c>
      <c r="D27" s="53">
        <f>IF(COUNTIFS(국내SCHD형_분배!$A$2:$A$355,"458730",국내SCHD형_분배!$C$2:$C$355,"&gt;="&amp;$B27,국내SCHD형_분배!$C$2:$C$355,"&lt;="&amp;$C27)=0,"",SUMIFS(국내SCHD형_분배!$D$2:$D$355,국내SCHD형_분배!$A$2:$A$355,"458730",국내SCHD형_분배!$C$2:$C$355,"&gt;="&amp;$B27,국내SCHD형_분배!$C$2:$C$355,"&lt;="&amp;$C27))</f>
        <v/>
      </c>
      <c r="E27" s="53">
        <f>IF(COUNTIFS(국내SCHD형_분배!$A$2:$A$355,"446720",국내SCHD형_분배!$C$2:$C$355,"&gt;="&amp;$B27,국내SCHD형_분배!$C$2:$C$355,"&lt;="&amp;$C27)=0,"",SUMIFS(국내SCHD형_분배!$D$2:$D$355,국내SCHD형_분배!$A$2:$A$355,"446720",국내SCHD형_분배!$C$2:$C$355,"&gt;="&amp;$B27,국내SCHD형_분배!$C$2:$C$355,"&lt;="&amp;$C27))</f>
        <v/>
      </c>
      <c r="F27" s="53">
        <f>IF(COUNTIFS(국내SCHD형_분배!$A$2:$A$355,"402970",국내SCHD형_분배!$C$2:$C$355,"&gt;="&amp;$B27,국내SCHD형_분배!$C$2:$C$355,"&lt;="&amp;$C27)=0,"",SUMIFS(국내SCHD형_분배!$D$2:$D$355,국내SCHD형_분배!$A$2:$A$355,"402970",국내SCHD형_분배!$C$2:$C$355,"&gt;="&amp;$B27,국내SCHD형_분배!$C$2:$C$355,"&lt;="&amp;$C27))</f>
        <v/>
      </c>
      <c r="G27" s="53">
        <f>IF(COUNTIFS(국내SCHD형_분배!$A$2:$A$355,"489250",국내SCHD형_분배!$C$2:$C$355,"&gt;="&amp;$B27,국내SCHD형_분배!$C$2:$C$355,"&lt;="&amp;$C27)=0,"",SUMIFS(국내SCHD형_분배!$D$2:$D$355,국내SCHD형_분배!$A$2:$A$355,"489250",국내SCHD형_분배!$C$2:$C$355,"&gt;="&amp;$B27,국내SCHD형_분배!$C$2:$C$355,"&lt;="&amp;$C27))</f>
        <v/>
      </c>
      <c r="H27" s="28">
        <f>IF(COUNTIFS(SCHD_배당!$C$2:$C$90,"&gt;="&amp;$B27,SCHD_배당!$C$2:$C$90,"&lt;="&amp;$C27)=0,"",SUMIFS(SCHD_배당!$G$2:$G$90,SCHD_배당!$C$2:$C$90,"&gt;="&amp;$B27,SCHD_배당!$C$2:$C$90,"&lt;="&amp;$C27))</f>
        <v/>
      </c>
      <c r="I27" s="32">
        <f>IF(H27="","",SUMIFS(SCHD_배당!$N$2:$N$90,SCHD_배당!$C$2:$C$90,"&gt;="&amp;$B27,SCHD_배당!$C$2:$C$90,"&lt;="&amp;$C27))</f>
        <v/>
      </c>
    </row>
    <row r="28">
      <c r="A28" s="59" t="inlineStr">
        <is>
          <t>2024 Q4</t>
        </is>
      </c>
      <c r="B28" s="52" t="n">
        <v>45566</v>
      </c>
      <c r="C28" s="52">
        <f>EDATE(B28,3)-1</f>
        <v/>
      </c>
      <c r="D28" s="53">
        <f>IF(COUNTIFS(국내SCHD형_분배!$A$2:$A$355,"458730",국내SCHD형_분배!$C$2:$C$355,"&gt;="&amp;$B28,국내SCHD형_분배!$C$2:$C$355,"&lt;="&amp;$C28)=0,"",SUMIFS(국내SCHD형_분배!$D$2:$D$355,국내SCHD형_분배!$A$2:$A$355,"458730",국내SCHD형_분배!$C$2:$C$355,"&gt;="&amp;$B28,국내SCHD형_분배!$C$2:$C$355,"&lt;="&amp;$C28))</f>
        <v/>
      </c>
      <c r="E28" s="53">
        <f>IF(COUNTIFS(국내SCHD형_분배!$A$2:$A$355,"446720",국내SCHD형_분배!$C$2:$C$355,"&gt;="&amp;$B28,국내SCHD형_분배!$C$2:$C$355,"&lt;="&amp;$C28)=0,"",SUMIFS(국내SCHD형_분배!$D$2:$D$355,국내SCHD형_분배!$A$2:$A$355,"446720",국내SCHD형_분배!$C$2:$C$355,"&gt;="&amp;$B28,국내SCHD형_분배!$C$2:$C$355,"&lt;="&amp;$C28))</f>
        <v/>
      </c>
      <c r="F28" s="53">
        <f>IF(COUNTIFS(국내SCHD형_분배!$A$2:$A$355,"402970",국내SCHD형_분배!$C$2:$C$355,"&gt;="&amp;$B28,국내SCHD형_분배!$C$2:$C$355,"&lt;="&amp;$C28)=0,"",SUMIFS(국내SCHD형_분배!$D$2:$D$355,국내SCHD형_분배!$A$2:$A$355,"402970",국내SCHD형_분배!$C$2:$C$355,"&gt;="&amp;$B28,국내SCHD형_분배!$C$2:$C$355,"&lt;="&amp;$C28))</f>
        <v/>
      </c>
      <c r="G28" s="53">
        <f>IF(COUNTIFS(국내SCHD형_분배!$A$2:$A$355,"489250",국내SCHD형_분배!$C$2:$C$355,"&gt;="&amp;$B28,국내SCHD형_분배!$C$2:$C$355,"&lt;="&amp;$C28)=0,"",SUMIFS(국내SCHD형_분배!$D$2:$D$355,국내SCHD형_분배!$A$2:$A$355,"489250",국내SCHD형_분배!$C$2:$C$355,"&gt;="&amp;$B28,국내SCHD형_분배!$C$2:$C$355,"&lt;="&amp;$C28))</f>
        <v/>
      </c>
      <c r="H28" s="28">
        <f>IF(COUNTIFS(SCHD_배당!$C$2:$C$90,"&gt;="&amp;$B28,SCHD_배당!$C$2:$C$90,"&lt;="&amp;$C28)=0,"",SUMIFS(SCHD_배당!$G$2:$G$90,SCHD_배당!$C$2:$C$90,"&gt;="&amp;$B28,SCHD_배당!$C$2:$C$90,"&lt;="&amp;$C28))</f>
        <v/>
      </c>
      <c r="I28" s="32">
        <f>IF(H28="","",SUMIFS(SCHD_배당!$N$2:$N$90,SCHD_배당!$C$2:$C$90,"&gt;="&amp;$B28,SCHD_배당!$C$2:$C$90,"&lt;="&amp;$C28))</f>
        <v/>
      </c>
    </row>
    <row r="29">
      <c r="A29" s="59" t="inlineStr">
        <is>
          <t>2025 Q1</t>
        </is>
      </c>
      <c r="B29" s="52" t="n">
        <v>45658</v>
      </c>
      <c r="C29" s="52">
        <f>EDATE(B29,3)-1</f>
        <v/>
      </c>
      <c r="D29" s="53">
        <f>IF(COUNTIFS(국내SCHD형_분배!$A$2:$A$355,"458730",국내SCHD형_분배!$C$2:$C$355,"&gt;="&amp;$B29,국내SCHD형_분배!$C$2:$C$355,"&lt;="&amp;$C29)=0,"",SUMIFS(국내SCHD형_분배!$D$2:$D$355,국내SCHD형_분배!$A$2:$A$355,"458730",국내SCHD형_분배!$C$2:$C$355,"&gt;="&amp;$B29,국내SCHD형_분배!$C$2:$C$355,"&lt;="&amp;$C29))</f>
        <v/>
      </c>
      <c r="E29" s="53">
        <f>IF(COUNTIFS(국내SCHD형_분배!$A$2:$A$355,"446720",국내SCHD형_분배!$C$2:$C$355,"&gt;="&amp;$B29,국내SCHD형_분배!$C$2:$C$355,"&lt;="&amp;$C29)=0,"",SUMIFS(국내SCHD형_분배!$D$2:$D$355,국내SCHD형_분배!$A$2:$A$355,"446720",국내SCHD형_분배!$C$2:$C$355,"&gt;="&amp;$B29,국내SCHD형_분배!$C$2:$C$355,"&lt;="&amp;$C29))</f>
        <v/>
      </c>
      <c r="F29" s="53">
        <f>IF(COUNTIFS(국내SCHD형_분배!$A$2:$A$355,"402970",국내SCHD형_분배!$C$2:$C$355,"&gt;="&amp;$B29,국내SCHD형_분배!$C$2:$C$355,"&lt;="&amp;$C29)=0,"",SUMIFS(국내SCHD형_분배!$D$2:$D$355,국내SCHD형_분배!$A$2:$A$355,"402970",국내SCHD형_분배!$C$2:$C$355,"&gt;="&amp;$B29,국내SCHD형_분배!$C$2:$C$355,"&lt;="&amp;$C29))</f>
        <v/>
      </c>
      <c r="G29" s="53">
        <f>IF(COUNTIFS(국내SCHD형_분배!$A$2:$A$355,"489250",국내SCHD형_분배!$C$2:$C$355,"&gt;="&amp;$B29,국내SCHD형_분배!$C$2:$C$355,"&lt;="&amp;$C29)=0,"",SUMIFS(국내SCHD형_분배!$D$2:$D$355,국내SCHD형_분배!$A$2:$A$355,"489250",국내SCHD형_분배!$C$2:$C$355,"&gt;="&amp;$B29,국내SCHD형_분배!$C$2:$C$355,"&lt;="&amp;$C29))</f>
        <v/>
      </c>
      <c r="H29" s="28">
        <f>IF(COUNTIFS(SCHD_배당!$C$2:$C$90,"&gt;="&amp;$B29,SCHD_배당!$C$2:$C$90,"&lt;="&amp;$C29)=0,"",SUMIFS(SCHD_배당!$G$2:$G$90,SCHD_배당!$C$2:$C$90,"&gt;="&amp;$B29,SCHD_배당!$C$2:$C$90,"&lt;="&amp;$C29))</f>
        <v/>
      </c>
      <c r="I29" s="32">
        <f>IF(H29="","",SUMIFS(SCHD_배당!$N$2:$N$90,SCHD_배당!$C$2:$C$90,"&gt;="&amp;$B29,SCHD_배당!$C$2:$C$90,"&lt;="&amp;$C29))</f>
        <v/>
      </c>
    </row>
    <row r="30">
      <c r="A30" s="59" t="inlineStr">
        <is>
          <t>2025 Q2</t>
        </is>
      </c>
      <c r="B30" s="52" t="n">
        <v>45748</v>
      </c>
      <c r="C30" s="52">
        <f>EDATE(B30,3)-1</f>
        <v/>
      </c>
      <c r="D30" s="53">
        <f>IF(COUNTIFS(국내SCHD형_분배!$A$2:$A$355,"458730",국내SCHD형_분배!$C$2:$C$355,"&gt;="&amp;$B30,국내SCHD형_분배!$C$2:$C$355,"&lt;="&amp;$C30)=0,"",SUMIFS(국내SCHD형_분배!$D$2:$D$355,국내SCHD형_분배!$A$2:$A$355,"458730",국내SCHD형_분배!$C$2:$C$355,"&gt;="&amp;$B30,국내SCHD형_분배!$C$2:$C$355,"&lt;="&amp;$C30))</f>
        <v/>
      </c>
      <c r="E30" s="53">
        <f>IF(COUNTIFS(국내SCHD형_분배!$A$2:$A$355,"446720",국내SCHD형_분배!$C$2:$C$355,"&gt;="&amp;$B30,국내SCHD형_분배!$C$2:$C$355,"&lt;="&amp;$C30)=0,"",SUMIFS(국내SCHD형_분배!$D$2:$D$355,국내SCHD형_분배!$A$2:$A$355,"446720",국내SCHD형_분배!$C$2:$C$355,"&gt;="&amp;$B30,국내SCHD형_분배!$C$2:$C$355,"&lt;="&amp;$C30))</f>
        <v/>
      </c>
      <c r="F30" s="53">
        <f>IF(COUNTIFS(국내SCHD형_분배!$A$2:$A$355,"402970",국내SCHD형_분배!$C$2:$C$355,"&gt;="&amp;$B30,국내SCHD형_분배!$C$2:$C$355,"&lt;="&amp;$C30)=0,"",SUMIFS(국내SCHD형_분배!$D$2:$D$355,국내SCHD형_분배!$A$2:$A$355,"402970",국내SCHD형_분배!$C$2:$C$355,"&gt;="&amp;$B30,국내SCHD형_분배!$C$2:$C$355,"&lt;="&amp;$C30))</f>
        <v/>
      </c>
      <c r="G30" s="53">
        <f>IF(COUNTIFS(국내SCHD형_분배!$A$2:$A$355,"489250",국내SCHD형_분배!$C$2:$C$355,"&gt;="&amp;$B30,국내SCHD형_분배!$C$2:$C$355,"&lt;="&amp;$C30)=0,"",SUMIFS(국내SCHD형_분배!$D$2:$D$355,국내SCHD형_분배!$A$2:$A$355,"489250",국내SCHD형_분배!$C$2:$C$355,"&gt;="&amp;$B30,국내SCHD형_분배!$C$2:$C$355,"&lt;="&amp;$C30))</f>
        <v/>
      </c>
      <c r="H30" s="28">
        <f>IF(COUNTIFS(SCHD_배당!$C$2:$C$90,"&gt;="&amp;$B30,SCHD_배당!$C$2:$C$90,"&lt;="&amp;$C30)=0,"",SUMIFS(SCHD_배당!$G$2:$G$90,SCHD_배당!$C$2:$C$90,"&gt;="&amp;$B30,SCHD_배당!$C$2:$C$90,"&lt;="&amp;$C30))</f>
        <v/>
      </c>
      <c r="I30" s="32">
        <f>IF(H30="","",SUMIFS(SCHD_배당!$N$2:$N$90,SCHD_배당!$C$2:$C$90,"&gt;="&amp;$B30,SCHD_배당!$C$2:$C$90,"&lt;="&amp;$C30))</f>
        <v/>
      </c>
    </row>
    <row r="31">
      <c r="A31" s="59" t="inlineStr">
        <is>
          <t>2025 Q3</t>
        </is>
      </c>
      <c r="B31" s="52" t="n">
        <v>45839</v>
      </c>
      <c r="C31" s="52">
        <f>EDATE(B31,3)-1</f>
        <v/>
      </c>
      <c r="D31" s="53">
        <f>IF(COUNTIFS(국내SCHD형_분배!$A$2:$A$355,"458730",국내SCHD형_분배!$C$2:$C$355,"&gt;="&amp;$B31,국내SCHD형_분배!$C$2:$C$355,"&lt;="&amp;$C31)=0,"",SUMIFS(국내SCHD형_분배!$D$2:$D$355,국내SCHD형_분배!$A$2:$A$355,"458730",국내SCHD형_분배!$C$2:$C$355,"&gt;="&amp;$B31,국내SCHD형_분배!$C$2:$C$355,"&lt;="&amp;$C31))</f>
        <v/>
      </c>
      <c r="E31" s="53">
        <f>IF(COUNTIFS(국내SCHD형_분배!$A$2:$A$355,"446720",국내SCHD형_분배!$C$2:$C$355,"&gt;="&amp;$B31,국내SCHD형_분배!$C$2:$C$355,"&lt;="&amp;$C31)=0,"",SUMIFS(국내SCHD형_분배!$D$2:$D$355,국내SCHD형_분배!$A$2:$A$355,"446720",국내SCHD형_분배!$C$2:$C$355,"&gt;="&amp;$B31,국내SCHD형_분배!$C$2:$C$355,"&lt;="&amp;$C31))</f>
        <v/>
      </c>
      <c r="F31" s="53">
        <f>IF(COUNTIFS(국내SCHD형_분배!$A$2:$A$355,"402970",국내SCHD형_분배!$C$2:$C$355,"&gt;="&amp;$B31,국내SCHD형_분배!$C$2:$C$355,"&lt;="&amp;$C31)=0,"",SUMIFS(국내SCHD형_분배!$D$2:$D$355,국내SCHD형_분배!$A$2:$A$355,"402970",국내SCHD형_분배!$C$2:$C$355,"&gt;="&amp;$B31,국내SCHD형_분배!$C$2:$C$355,"&lt;="&amp;$C31))</f>
        <v/>
      </c>
      <c r="G31" s="53">
        <f>IF(COUNTIFS(국내SCHD형_분배!$A$2:$A$355,"489250",국내SCHD형_분배!$C$2:$C$355,"&gt;="&amp;$B31,국내SCHD형_분배!$C$2:$C$355,"&lt;="&amp;$C31)=0,"",SUMIFS(국내SCHD형_분배!$D$2:$D$355,국내SCHD형_분배!$A$2:$A$355,"489250",국내SCHD형_분배!$C$2:$C$355,"&gt;="&amp;$B31,국내SCHD형_분배!$C$2:$C$355,"&lt;="&amp;$C31))</f>
        <v/>
      </c>
      <c r="H31" s="28">
        <f>IF(COUNTIFS(SCHD_배당!$C$2:$C$90,"&gt;="&amp;$B31,SCHD_배당!$C$2:$C$90,"&lt;="&amp;$C31)=0,"",SUMIFS(SCHD_배당!$G$2:$G$90,SCHD_배당!$C$2:$C$90,"&gt;="&amp;$B31,SCHD_배당!$C$2:$C$90,"&lt;="&amp;$C31))</f>
        <v/>
      </c>
      <c r="I31" s="32">
        <f>IF(H31="","",SUMIFS(SCHD_배당!$N$2:$N$90,SCHD_배당!$C$2:$C$90,"&gt;="&amp;$B31,SCHD_배당!$C$2:$C$90,"&lt;="&amp;$C31))</f>
        <v/>
      </c>
    </row>
    <row r="32">
      <c r="A32" s="59" t="inlineStr">
        <is>
          <t>2025 Q4</t>
        </is>
      </c>
      <c r="B32" s="52" t="n">
        <v>45931</v>
      </c>
      <c r="C32" s="52">
        <f>EDATE(B32,3)-1</f>
        <v/>
      </c>
      <c r="D32" s="53">
        <f>IF(COUNTIFS(국내SCHD형_분배!$A$2:$A$355,"458730",국내SCHD형_분배!$C$2:$C$355,"&gt;="&amp;$B32,국내SCHD형_분배!$C$2:$C$355,"&lt;="&amp;$C32)=0,"",SUMIFS(국내SCHD형_분배!$D$2:$D$355,국내SCHD형_분배!$A$2:$A$355,"458730",국내SCHD형_분배!$C$2:$C$355,"&gt;="&amp;$B32,국내SCHD형_분배!$C$2:$C$355,"&lt;="&amp;$C32))</f>
        <v/>
      </c>
      <c r="E32" s="53">
        <f>IF(COUNTIFS(국내SCHD형_분배!$A$2:$A$355,"446720",국내SCHD형_분배!$C$2:$C$355,"&gt;="&amp;$B32,국내SCHD형_분배!$C$2:$C$355,"&lt;="&amp;$C32)=0,"",SUMIFS(국내SCHD형_분배!$D$2:$D$355,국내SCHD형_분배!$A$2:$A$355,"446720",국내SCHD형_분배!$C$2:$C$355,"&gt;="&amp;$B32,국내SCHD형_분배!$C$2:$C$355,"&lt;="&amp;$C32))</f>
        <v/>
      </c>
      <c r="F32" s="53">
        <f>IF(COUNTIFS(국내SCHD형_분배!$A$2:$A$355,"402970",국내SCHD형_분배!$C$2:$C$355,"&gt;="&amp;$B32,국내SCHD형_분배!$C$2:$C$355,"&lt;="&amp;$C32)=0,"",SUMIFS(국내SCHD형_분배!$D$2:$D$355,국내SCHD형_분배!$A$2:$A$355,"402970",국내SCHD형_분배!$C$2:$C$355,"&gt;="&amp;$B32,국내SCHD형_분배!$C$2:$C$355,"&lt;="&amp;$C32))</f>
        <v/>
      </c>
      <c r="G32" s="53">
        <f>IF(COUNTIFS(국내SCHD형_분배!$A$2:$A$355,"489250",국내SCHD형_분배!$C$2:$C$355,"&gt;="&amp;$B32,국내SCHD형_분배!$C$2:$C$355,"&lt;="&amp;$C32)=0,"",SUMIFS(국내SCHD형_분배!$D$2:$D$355,국내SCHD형_분배!$A$2:$A$355,"489250",국내SCHD형_분배!$C$2:$C$355,"&gt;="&amp;$B32,국내SCHD형_분배!$C$2:$C$355,"&lt;="&amp;$C32))</f>
        <v/>
      </c>
      <c r="H32" s="28">
        <f>IF(COUNTIFS(SCHD_배당!$C$2:$C$90,"&gt;="&amp;$B32,SCHD_배당!$C$2:$C$90,"&lt;="&amp;$C32)=0,"",SUMIFS(SCHD_배당!$G$2:$G$90,SCHD_배당!$C$2:$C$90,"&gt;="&amp;$B32,SCHD_배당!$C$2:$C$90,"&lt;="&amp;$C32))</f>
        <v/>
      </c>
      <c r="I32" s="32">
        <f>IF(H32="","",SUMIFS(SCHD_배당!$N$2:$N$90,SCHD_배당!$C$2:$C$90,"&gt;="&amp;$B32,SCHD_배당!$C$2:$C$90,"&lt;="&amp;$C32))</f>
        <v/>
      </c>
    </row>
    <row r="33">
      <c r="A33" s="59" t="inlineStr">
        <is>
          <t>2026 Q1</t>
        </is>
      </c>
      <c r="B33" s="52" t="n">
        <v>46023</v>
      </c>
      <c r="C33" s="52">
        <f>EDATE(B33,3)-1</f>
        <v/>
      </c>
      <c r="D33" s="53">
        <f>IF(COUNTIFS(국내SCHD형_분배!$A$2:$A$355,"458730",국내SCHD형_분배!$C$2:$C$355,"&gt;="&amp;$B33,국내SCHD형_분배!$C$2:$C$355,"&lt;="&amp;$C33)=0,"",SUMIFS(국내SCHD형_분배!$D$2:$D$355,국내SCHD형_분배!$A$2:$A$355,"458730",국내SCHD형_분배!$C$2:$C$355,"&gt;="&amp;$B33,국내SCHD형_분배!$C$2:$C$355,"&lt;="&amp;$C33))</f>
        <v/>
      </c>
      <c r="E33" s="53">
        <f>IF(COUNTIFS(국내SCHD형_분배!$A$2:$A$355,"446720",국내SCHD형_분배!$C$2:$C$355,"&gt;="&amp;$B33,국내SCHD형_분배!$C$2:$C$355,"&lt;="&amp;$C33)=0,"",SUMIFS(국내SCHD형_분배!$D$2:$D$355,국내SCHD형_분배!$A$2:$A$355,"446720",국내SCHD형_분배!$C$2:$C$355,"&gt;="&amp;$B33,국내SCHD형_분배!$C$2:$C$355,"&lt;="&amp;$C33))</f>
        <v/>
      </c>
      <c r="F33" s="53">
        <f>IF(COUNTIFS(국내SCHD형_분배!$A$2:$A$355,"402970",국내SCHD형_분배!$C$2:$C$355,"&gt;="&amp;$B33,국내SCHD형_분배!$C$2:$C$355,"&lt;="&amp;$C33)=0,"",SUMIFS(국내SCHD형_분배!$D$2:$D$355,국내SCHD형_분배!$A$2:$A$355,"402970",국내SCHD형_분배!$C$2:$C$355,"&gt;="&amp;$B33,국내SCHD형_분배!$C$2:$C$355,"&lt;="&amp;$C33))</f>
        <v/>
      </c>
      <c r="G33" s="53">
        <f>IF(COUNTIFS(국내SCHD형_분배!$A$2:$A$355,"489250",국내SCHD형_분배!$C$2:$C$355,"&gt;="&amp;$B33,국내SCHD형_분배!$C$2:$C$355,"&lt;="&amp;$C33)=0,"",SUMIFS(국내SCHD형_분배!$D$2:$D$355,국내SCHD형_분배!$A$2:$A$355,"489250",국내SCHD형_분배!$C$2:$C$355,"&gt;="&amp;$B33,국내SCHD형_분배!$C$2:$C$355,"&lt;="&amp;$C33))</f>
        <v/>
      </c>
      <c r="H33" s="28">
        <f>IF(COUNTIFS(SCHD_배당!$C$2:$C$90,"&gt;="&amp;$B33,SCHD_배당!$C$2:$C$90,"&lt;="&amp;$C33)=0,"",SUMIFS(SCHD_배당!$G$2:$G$90,SCHD_배당!$C$2:$C$90,"&gt;="&amp;$B33,SCHD_배당!$C$2:$C$90,"&lt;="&amp;$C33))</f>
        <v/>
      </c>
      <c r="I33" s="32">
        <f>IF(H33="","",SUMIFS(SCHD_배당!$N$2:$N$90,SCHD_배당!$C$2:$C$90,"&gt;="&amp;$B33,SCHD_배당!$C$2:$C$90,"&lt;="&amp;$C33))</f>
        <v/>
      </c>
    </row>
    <row r="34">
      <c r="A34" s="59" t="inlineStr">
        <is>
          <t>2026 Q2</t>
        </is>
      </c>
      <c r="B34" s="52" t="n">
        <v>46113</v>
      </c>
      <c r="C34" s="52">
        <f>EDATE(B34,3)-1</f>
        <v/>
      </c>
      <c r="D34" s="53">
        <f>IF(COUNTIFS(국내SCHD형_분배!$A$2:$A$355,"458730",국내SCHD형_분배!$C$2:$C$355,"&gt;="&amp;$B34,국내SCHD형_분배!$C$2:$C$355,"&lt;="&amp;$C34)=0,"",SUMIFS(국내SCHD형_분배!$D$2:$D$355,국내SCHD형_분배!$A$2:$A$355,"458730",국내SCHD형_분배!$C$2:$C$355,"&gt;="&amp;$B34,국내SCHD형_분배!$C$2:$C$355,"&lt;="&amp;$C34))</f>
        <v/>
      </c>
      <c r="E34" s="53">
        <f>IF(COUNTIFS(국내SCHD형_분배!$A$2:$A$355,"446720",국내SCHD형_분배!$C$2:$C$355,"&gt;="&amp;$B34,국내SCHD형_분배!$C$2:$C$355,"&lt;="&amp;$C34)=0,"",SUMIFS(국내SCHD형_분배!$D$2:$D$355,국내SCHD형_분배!$A$2:$A$355,"446720",국내SCHD형_분배!$C$2:$C$355,"&gt;="&amp;$B34,국내SCHD형_분배!$C$2:$C$355,"&lt;="&amp;$C34))</f>
        <v/>
      </c>
      <c r="F34" s="53">
        <f>IF(COUNTIFS(국내SCHD형_분배!$A$2:$A$355,"402970",국내SCHD형_분배!$C$2:$C$355,"&gt;="&amp;$B34,국내SCHD형_분배!$C$2:$C$355,"&lt;="&amp;$C34)=0,"",SUMIFS(국내SCHD형_분배!$D$2:$D$355,국내SCHD형_분배!$A$2:$A$355,"402970",국내SCHD형_분배!$C$2:$C$355,"&gt;="&amp;$B34,국내SCHD형_분배!$C$2:$C$355,"&lt;="&amp;$C34))</f>
        <v/>
      </c>
      <c r="G34" s="53">
        <f>IF(COUNTIFS(국내SCHD형_분배!$A$2:$A$355,"489250",국내SCHD형_분배!$C$2:$C$355,"&gt;="&amp;$B34,국내SCHD형_분배!$C$2:$C$355,"&lt;="&amp;$C34)=0,"",SUMIFS(국내SCHD형_분배!$D$2:$D$355,국내SCHD형_분배!$A$2:$A$355,"489250",국내SCHD형_분배!$C$2:$C$355,"&gt;="&amp;$B34,국내SCHD형_분배!$C$2:$C$355,"&lt;="&amp;$C34))</f>
        <v/>
      </c>
      <c r="H34" s="28">
        <f>IF(COUNTIFS(SCHD_배당!$C$2:$C$90,"&gt;="&amp;$B34,SCHD_배당!$C$2:$C$90,"&lt;="&amp;$C34)=0,"",SUMIFS(SCHD_배당!$G$2:$G$90,SCHD_배당!$C$2:$C$90,"&gt;="&amp;$B34,SCHD_배당!$C$2:$C$90,"&lt;="&amp;$C34))</f>
        <v/>
      </c>
      <c r="I34" s="32">
        <f>IF(H34="","",SUMIFS(SCHD_배당!$N$2:$N$90,SCHD_배당!$C$2:$C$90,"&gt;="&amp;$B34,SCHD_배당!$C$2:$C$90,"&lt;="&amp;$C34))</f>
        <v/>
      </c>
    </row>
    <row r="35">
      <c r="A35" s="59" t="inlineStr">
        <is>
          <t>2026 Q3</t>
        </is>
      </c>
      <c r="B35" s="52" t="n">
        <v>46204</v>
      </c>
      <c r="C35" s="52">
        <f>EDATE(B35,3)-1</f>
        <v/>
      </c>
      <c r="D35" s="53">
        <f>IF(COUNTIFS(국내SCHD형_분배!$A$2:$A$355,"458730",국내SCHD형_분배!$C$2:$C$355,"&gt;="&amp;$B35,국내SCHD형_분배!$C$2:$C$355,"&lt;="&amp;$C35)=0,"",SUMIFS(국내SCHD형_분배!$D$2:$D$355,국내SCHD형_분배!$A$2:$A$355,"458730",국내SCHD형_분배!$C$2:$C$355,"&gt;="&amp;$B35,국내SCHD형_분배!$C$2:$C$355,"&lt;="&amp;$C35))</f>
        <v/>
      </c>
      <c r="E35" s="53">
        <f>IF(COUNTIFS(국내SCHD형_분배!$A$2:$A$355,"446720",국내SCHD형_분배!$C$2:$C$355,"&gt;="&amp;$B35,국내SCHD형_분배!$C$2:$C$355,"&lt;="&amp;$C35)=0,"",SUMIFS(국내SCHD형_분배!$D$2:$D$355,국내SCHD형_분배!$A$2:$A$355,"446720",국내SCHD형_분배!$C$2:$C$355,"&gt;="&amp;$B35,국내SCHD형_분배!$C$2:$C$355,"&lt;="&amp;$C35))</f>
        <v/>
      </c>
      <c r="F35" s="53">
        <f>IF(COUNTIFS(국내SCHD형_분배!$A$2:$A$355,"402970",국내SCHD형_분배!$C$2:$C$355,"&gt;="&amp;$B35,국내SCHD형_분배!$C$2:$C$355,"&lt;="&amp;$C35)=0,"",SUMIFS(국내SCHD형_분배!$D$2:$D$355,국내SCHD형_분배!$A$2:$A$355,"402970",국내SCHD형_분배!$C$2:$C$355,"&gt;="&amp;$B35,국내SCHD형_분배!$C$2:$C$355,"&lt;="&amp;$C35))</f>
        <v/>
      </c>
      <c r="G35" s="53">
        <f>IF(COUNTIFS(국내SCHD형_분배!$A$2:$A$355,"489250",국내SCHD형_분배!$C$2:$C$355,"&gt;="&amp;$B35,국내SCHD형_분배!$C$2:$C$355,"&lt;="&amp;$C35)=0,"",SUMIFS(국내SCHD형_분배!$D$2:$D$355,국내SCHD형_분배!$A$2:$A$355,"489250",국내SCHD형_분배!$C$2:$C$355,"&gt;="&amp;$B35,국내SCHD형_분배!$C$2:$C$355,"&lt;="&amp;$C35))</f>
        <v/>
      </c>
      <c r="H35" s="28">
        <f>IF(COUNTIFS(SCHD_배당!$C$2:$C$90,"&gt;="&amp;$B35,SCHD_배당!$C$2:$C$90,"&lt;="&amp;$C35)=0,"",SUMIFS(SCHD_배당!$G$2:$G$90,SCHD_배당!$C$2:$C$90,"&gt;="&amp;$B35,SCHD_배당!$C$2:$C$90,"&lt;="&amp;$C35))</f>
        <v/>
      </c>
      <c r="I35" s="32">
        <f>IF(H35="","",SUMIFS(SCHD_배당!$N$2:$N$90,SCHD_배당!$C$2:$C$90,"&gt;="&amp;$B35,SCHD_배당!$C$2:$C$90,"&lt;="&amp;$C35))</f>
        <v/>
      </c>
    </row>
    <row r="36">
      <c r="A36" s="59" t="inlineStr">
        <is>
          <t>2026 Q4</t>
        </is>
      </c>
      <c r="B36" s="52" t="n">
        <v>46296</v>
      </c>
      <c r="C36" s="52">
        <f>EDATE(B36,3)-1</f>
        <v/>
      </c>
      <c r="D36" s="53">
        <f>IF(COUNTIFS(국내SCHD형_분배!$A$2:$A$355,"458730",국내SCHD형_분배!$C$2:$C$355,"&gt;="&amp;$B36,국내SCHD형_분배!$C$2:$C$355,"&lt;="&amp;$C36)=0,"",SUMIFS(국내SCHD형_분배!$D$2:$D$355,국내SCHD형_분배!$A$2:$A$355,"458730",국내SCHD형_분배!$C$2:$C$355,"&gt;="&amp;$B36,국내SCHD형_분배!$C$2:$C$355,"&lt;="&amp;$C36))</f>
        <v/>
      </c>
      <c r="E36" s="53">
        <f>IF(COUNTIFS(국내SCHD형_분배!$A$2:$A$355,"446720",국내SCHD형_분배!$C$2:$C$355,"&gt;="&amp;$B36,국내SCHD형_분배!$C$2:$C$355,"&lt;="&amp;$C36)=0,"",SUMIFS(국내SCHD형_분배!$D$2:$D$355,국내SCHD형_분배!$A$2:$A$355,"446720",국내SCHD형_분배!$C$2:$C$355,"&gt;="&amp;$B36,국내SCHD형_분배!$C$2:$C$355,"&lt;="&amp;$C36))</f>
        <v/>
      </c>
      <c r="F36" s="53">
        <f>IF(COUNTIFS(국내SCHD형_분배!$A$2:$A$355,"402970",국내SCHD형_분배!$C$2:$C$355,"&gt;="&amp;$B36,국내SCHD형_분배!$C$2:$C$355,"&lt;="&amp;$C36)=0,"",SUMIFS(국내SCHD형_분배!$D$2:$D$355,국내SCHD형_분배!$A$2:$A$355,"402970",국내SCHD형_분배!$C$2:$C$355,"&gt;="&amp;$B36,국내SCHD형_분배!$C$2:$C$355,"&lt;="&amp;$C36))</f>
        <v/>
      </c>
      <c r="G36" s="53">
        <f>IF(COUNTIFS(국내SCHD형_분배!$A$2:$A$355,"489250",국내SCHD형_분배!$C$2:$C$355,"&gt;="&amp;$B36,국내SCHD형_분배!$C$2:$C$355,"&lt;="&amp;$C36)=0,"",SUMIFS(국내SCHD형_분배!$D$2:$D$355,국내SCHD형_분배!$A$2:$A$355,"489250",국내SCHD형_분배!$C$2:$C$355,"&gt;="&amp;$B36,국내SCHD형_분배!$C$2:$C$355,"&lt;="&amp;$C36))</f>
        <v/>
      </c>
      <c r="H36" s="28">
        <f>IF(COUNTIFS(SCHD_배당!$C$2:$C$90,"&gt;="&amp;$B36,SCHD_배당!$C$2:$C$90,"&lt;="&amp;$C36)=0,"",SUMIFS(SCHD_배당!$G$2:$G$90,SCHD_배당!$C$2:$C$90,"&gt;="&amp;$B36,SCHD_배당!$C$2:$C$90,"&lt;="&amp;$C36))</f>
        <v/>
      </c>
      <c r="I36" s="32">
        <f>IF(H36="","",SUMIFS(SCHD_배당!$N$2:$N$90,SCHD_배당!$C$2:$C$90,"&gt;="&amp;$B36,SCHD_배당!$C$2:$C$90,"&lt;="&amp;$C36))</f>
        <v/>
      </c>
    </row>
    <row r="37">
      <c r="A37" s="59" t="inlineStr">
        <is>
          <t>2027 Q1</t>
        </is>
      </c>
      <c r="B37" s="52" t="n">
        <v>46388</v>
      </c>
      <c r="C37" s="52">
        <f>EDATE(B37,3)-1</f>
        <v/>
      </c>
      <c r="D37" s="53">
        <f>IF(COUNTIFS(국내SCHD형_분배!$A$2:$A$355,"458730",국내SCHD형_분배!$C$2:$C$355,"&gt;="&amp;$B37,국내SCHD형_분배!$C$2:$C$355,"&lt;="&amp;$C37)=0,"",SUMIFS(국내SCHD형_분배!$D$2:$D$355,국내SCHD형_분배!$A$2:$A$355,"458730",국내SCHD형_분배!$C$2:$C$355,"&gt;="&amp;$B37,국내SCHD형_분배!$C$2:$C$355,"&lt;="&amp;$C37))</f>
        <v/>
      </c>
      <c r="E37" s="53">
        <f>IF(COUNTIFS(국내SCHD형_분배!$A$2:$A$355,"446720",국내SCHD형_분배!$C$2:$C$355,"&gt;="&amp;$B37,국내SCHD형_분배!$C$2:$C$355,"&lt;="&amp;$C37)=0,"",SUMIFS(국내SCHD형_분배!$D$2:$D$355,국내SCHD형_분배!$A$2:$A$355,"446720",국내SCHD형_분배!$C$2:$C$355,"&gt;="&amp;$B37,국내SCHD형_분배!$C$2:$C$355,"&lt;="&amp;$C37))</f>
        <v/>
      </c>
      <c r="F37" s="53">
        <f>IF(COUNTIFS(국내SCHD형_분배!$A$2:$A$355,"402970",국내SCHD형_분배!$C$2:$C$355,"&gt;="&amp;$B37,국내SCHD형_분배!$C$2:$C$355,"&lt;="&amp;$C37)=0,"",SUMIFS(국내SCHD형_분배!$D$2:$D$355,국내SCHD형_분배!$A$2:$A$355,"402970",국내SCHD형_분배!$C$2:$C$355,"&gt;="&amp;$B37,국내SCHD형_분배!$C$2:$C$355,"&lt;="&amp;$C37))</f>
        <v/>
      </c>
      <c r="G37" s="53">
        <f>IF(COUNTIFS(국내SCHD형_분배!$A$2:$A$355,"489250",국내SCHD형_분배!$C$2:$C$355,"&gt;="&amp;$B37,국내SCHD형_분배!$C$2:$C$355,"&lt;="&amp;$C37)=0,"",SUMIFS(국내SCHD형_분배!$D$2:$D$355,국내SCHD형_분배!$A$2:$A$355,"489250",국내SCHD형_분배!$C$2:$C$355,"&gt;="&amp;$B37,국내SCHD형_분배!$C$2:$C$355,"&lt;="&amp;$C37))</f>
        <v/>
      </c>
      <c r="H37" s="28">
        <f>IF(COUNTIFS(SCHD_배당!$C$2:$C$90,"&gt;="&amp;$B37,SCHD_배당!$C$2:$C$90,"&lt;="&amp;$C37)=0,"",SUMIFS(SCHD_배당!$G$2:$G$90,SCHD_배당!$C$2:$C$90,"&gt;="&amp;$B37,SCHD_배당!$C$2:$C$90,"&lt;="&amp;$C37))</f>
        <v/>
      </c>
      <c r="I37" s="32">
        <f>IF(H37="","",SUMIFS(SCHD_배당!$N$2:$N$90,SCHD_배당!$C$2:$C$90,"&gt;="&amp;$B37,SCHD_배당!$C$2:$C$90,"&lt;="&amp;$C37))</f>
        <v/>
      </c>
    </row>
    <row r="38">
      <c r="A38" s="59" t="inlineStr">
        <is>
          <t>2027 Q2</t>
        </is>
      </c>
      <c r="B38" s="52" t="n">
        <v>46478</v>
      </c>
      <c r="C38" s="52">
        <f>EDATE(B38,3)-1</f>
        <v/>
      </c>
      <c r="D38" s="53">
        <f>IF(COUNTIFS(국내SCHD형_분배!$A$2:$A$355,"458730",국내SCHD형_분배!$C$2:$C$355,"&gt;="&amp;$B38,국내SCHD형_분배!$C$2:$C$355,"&lt;="&amp;$C38)=0,"",SUMIFS(국내SCHD형_분배!$D$2:$D$355,국내SCHD형_분배!$A$2:$A$355,"458730",국내SCHD형_분배!$C$2:$C$355,"&gt;="&amp;$B38,국내SCHD형_분배!$C$2:$C$355,"&lt;="&amp;$C38))</f>
        <v/>
      </c>
      <c r="E38" s="53">
        <f>IF(COUNTIFS(국내SCHD형_분배!$A$2:$A$355,"446720",국내SCHD형_분배!$C$2:$C$355,"&gt;="&amp;$B38,국내SCHD형_분배!$C$2:$C$355,"&lt;="&amp;$C38)=0,"",SUMIFS(국내SCHD형_분배!$D$2:$D$355,국내SCHD형_분배!$A$2:$A$355,"446720",국내SCHD형_분배!$C$2:$C$355,"&gt;="&amp;$B38,국내SCHD형_분배!$C$2:$C$355,"&lt;="&amp;$C38))</f>
        <v/>
      </c>
      <c r="F38" s="53">
        <f>IF(COUNTIFS(국내SCHD형_분배!$A$2:$A$355,"402970",국내SCHD형_분배!$C$2:$C$355,"&gt;="&amp;$B38,국내SCHD형_분배!$C$2:$C$355,"&lt;="&amp;$C38)=0,"",SUMIFS(국내SCHD형_분배!$D$2:$D$355,국내SCHD형_분배!$A$2:$A$355,"402970",국내SCHD형_분배!$C$2:$C$355,"&gt;="&amp;$B38,국내SCHD형_분배!$C$2:$C$355,"&lt;="&amp;$C38))</f>
        <v/>
      </c>
      <c r="G38" s="53">
        <f>IF(COUNTIFS(국내SCHD형_분배!$A$2:$A$355,"489250",국내SCHD형_분배!$C$2:$C$355,"&gt;="&amp;$B38,국내SCHD형_분배!$C$2:$C$355,"&lt;="&amp;$C38)=0,"",SUMIFS(국내SCHD형_분배!$D$2:$D$355,국내SCHD형_분배!$A$2:$A$355,"489250",국내SCHD형_분배!$C$2:$C$355,"&gt;="&amp;$B38,국내SCHD형_분배!$C$2:$C$355,"&lt;="&amp;$C38))</f>
        <v/>
      </c>
      <c r="H38" s="28">
        <f>IF(COUNTIFS(SCHD_배당!$C$2:$C$90,"&gt;="&amp;$B38,SCHD_배당!$C$2:$C$90,"&lt;="&amp;$C38)=0,"",SUMIFS(SCHD_배당!$G$2:$G$90,SCHD_배당!$C$2:$C$90,"&gt;="&amp;$B38,SCHD_배당!$C$2:$C$90,"&lt;="&amp;$C38))</f>
        <v/>
      </c>
      <c r="I38" s="32">
        <f>IF(H38="","",SUMIFS(SCHD_배당!$N$2:$N$90,SCHD_배당!$C$2:$C$90,"&gt;="&amp;$B38,SCHD_배당!$C$2:$C$90,"&lt;="&amp;$C38))</f>
        <v/>
      </c>
    </row>
    <row r="39">
      <c r="A39" s="59" t="inlineStr">
        <is>
          <t>2027 Q3</t>
        </is>
      </c>
      <c r="B39" s="52" t="n">
        <v>46569</v>
      </c>
      <c r="C39" s="52">
        <f>EDATE(B39,3)-1</f>
        <v/>
      </c>
      <c r="D39" s="53">
        <f>IF(COUNTIFS(국내SCHD형_분배!$A$2:$A$355,"458730",국내SCHD형_분배!$C$2:$C$355,"&gt;="&amp;$B39,국내SCHD형_분배!$C$2:$C$355,"&lt;="&amp;$C39)=0,"",SUMIFS(국내SCHD형_분배!$D$2:$D$355,국내SCHD형_분배!$A$2:$A$355,"458730",국내SCHD형_분배!$C$2:$C$355,"&gt;="&amp;$B39,국내SCHD형_분배!$C$2:$C$355,"&lt;="&amp;$C39))</f>
        <v/>
      </c>
      <c r="E39" s="53">
        <f>IF(COUNTIFS(국내SCHD형_분배!$A$2:$A$355,"446720",국내SCHD형_분배!$C$2:$C$355,"&gt;="&amp;$B39,국내SCHD형_분배!$C$2:$C$355,"&lt;="&amp;$C39)=0,"",SUMIFS(국내SCHD형_분배!$D$2:$D$355,국내SCHD형_분배!$A$2:$A$355,"446720",국내SCHD형_분배!$C$2:$C$355,"&gt;="&amp;$B39,국내SCHD형_분배!$C$2:$C$355,"&lt;="&amp;$C39))</f>
        <v/>
      </c>
      <c r="F39" s="53">
        <f>IF(COUNTIFS(국내SCHD형_분배!$A$2:$A$355,"402970",국내SCHD형_분배!$C$2:$C$355,"&gt;="&amp;$B39,국내SCHD형_분배!$C$2:$C$355,"&lt;="&amp;$C39)=0,"",SUMIFS(국내SCHD형_분배!$D$2:$D$355,국내SCHD형_분배!$A$2:$A$355,"402970",국내SCHD형_분배!$C$2:$C$355,"&gt;="&amp;$B39,국내SCHD형_분배!$C$2:$C$355,"&lt;="&amp;$C39))</f>
        <v/>
      </c>
      <c r="G39" s="53">
        <f>IF(COUNTIFS(국내SCHD형_분배!$A$2:$A$355,"489250",국내SCHD형_분배!$C$2:$C$355,"&gt;="&amp;$B39,국내SCHD형_분배!$C$2:$C$355,"&lt;="&amp;$C39)=0,"",SUMIFS(국내SCHD형_분배!$D$2:$D$355,국내SCHD형_분배!$A$2:$A$355,"489250",국내SCHD형_분배!$C$2:$C$355,"&gt;="&amp;$B39,국내SCHD형_분배!$C$2:$C$355,"&lt;="&amp;$C39))</f>
        <v/>
      </c>
      <c r="H39" s="28">
        <f>IF(COUNTIFS(SCHD_배당!$C$2:$C$90,"&gt;="&amp;$B39,SCHD_배당!$C$2:$C$90,"&lt;="&amp;$C39)=0,"",SUMIFS(SCHD_배당!$G$2:$G$90,SCHD_배당!$C$2:$C$90,"&gt;="&amp;$B39,SCHD_배당!$C$2:$C$90,"&lt;="&amp;$C39))</f>
        <v/>
      </c>
      <c r="I39" s="32">
        <f>IF(H39="","",SUMIFS(SCHD_배당!$N$2:$N$90,SCHD_배당!$C$2:$C$90,"&gt;="&amp;$B39,SCHD_배당!$C$2:$C$90,"&lt;="&amp;$C39))</f>
        <v/>
      </c>
    </row>
    <row r="40">
      <c r="A40" s="59" t="inlineStr">
        <is>
          <t>2027 Q4</t>
        </is>
      </c>
      <c r="B40" s="52" t="n">
        <v>46661</v>
      </c>
      <c r="C40" s="52">
        <f>EDATE(B40,3)-1</f>
        <v/>
      </c>
      <c r="D40" s="53">
        <f>IF(COUNTIFS(국내SCHD형_분배!$A$2:$A$355,"458730",국내SCHD형_분배!$C$2:$C$355,"&gt;="&amp;$B40,국내SCHD형_분배!$C$2:$C$355,"&lt;="&amp;$C40)=0,"",SUMIFS(국내SCHD형_분배!$D$2:$D$355,국내SCHD형_분배!$A$2:$A$355,"458730",국내SCHD형_분배!$C$2:$C$355,"&gt;="&amp;$B40,국내SCHD형_분배!$C$2:$C$355,"&lt;="&amp;$C40))</f>
        <v/>
      </c>
      <c r="E40" s="53">
        <f>IF(COUNTIFS(국내SCHD형_분배!$A$2:$A$355,"446720",국내SCHD형_분배!$C$2:$C$355,"&gt;="&amp;$B40,국내SCHD형_분배!$C$2:$C$355,"&lt;="&amp;$C40)=0,"",SUMIFS(국내SCHD형_분배!$D$2:$D$355,국내SCHD형_분배!$A$2:$A$355,"446720",국내SCHD형_분배!$C$2:$C$355,"&gt;="&amp;$B40,국내SCHD형_분배!$C$2:$C$355,"&lt;="&amp;$C40))</f>
        <v/>
      </c>
      <c r="F40" s="53">
        <f>IF(COUNTIFS(국내SCHD형_분배!$A$2:$A$355,"402970",국내SCHD형_분배!$C$2:$C$355,"&gt;="&amp;$B40,국내SCHD형_분배!$C$2:$C$355,"&lt;="&amp;$C40)=0,"",SUMIFS(국내SCHD형_분배!$D$2:$D$355,국내SCHD형_분배!$A$2:$A$355,"402970",국내SCHD형_분배!$C$2:$C$355,"&gt;="&amp;$B40,국내SCHD형_분배!$C$2:$C$355,"&lt;="&amp;$C40))</f>
        <v/>
      </c>
      <c r="G40" s="53">
        <f>IF(COUNTIFS(국내SCHD형_분배!$A$2:$A$355,"489250",국내SCHD형_분배!$C$2:$C$355,"&gt;="&amp;$B40,국내SCHD형_분배!$C$2:$C$355,"&lt;="&amp;$C40)=0,"",SUMIFS(국내SCHD형_분배!$D$2:$D$355,국내SCHD형_분배!$A$2:$A$355,"489250",국내SCHD형_분배!$C$2:$C$355,"&gt;="&amp;$B40,국내SCHD형_분배!$C$2:$C$355,"&lt;="&amp;$C40))</f>
        <v/>
      </c>
      <c r="H40" s="28">
        <f>IF(COUNTIFS(SCHD_배당!$C$2:$C$90,"&gt;="&amp;$B40,SCHD_배당!$C$2:$C$90,"&lt;="&amp;$C40)=0,"",SUMIFS(SCHD_배당!$G$2:$G$90,SCHD_배당!$C$2:$C$90,"&gt;="&amp;$B40,SCHD_배당!$C$2:$C$90,"&lt;="&amp;$C40))</f>
        <v/>
      </c>
      <c r="I40" s="32">
        <f>IF(H40="","",SUMIFS(SCHD_배당!$N$2:$N$90,SCHD_배당!$C$2:$C$90,"&gt;="&amp;$B40,SCHD_배당!$C$2:$C$90,"&lt;="&amp;$C40))</f>
        <v/>
      </c>
    </row>
    <row r="41">
      <c r="A41" s="59" t="inlineStr">
        <is>
          <t>2028 Q1</t>
        </is>
      </c>
      <c r="B41" s="52" t="n">
        <v>46753</v>
      </c>
      <c r="C41" s="52">
        <f>EDATE(B41,3)-1</f>
        <v/>
      </c>
      <c r="D41" s="53">
        <f>IF(COUNTIFS(국내SCHD형_분배!$A$2:$A$355,"458730",국내SCHD형_분배!$C$2:$C$355,"&gt;="&amp;$B41,국내SCHD형_분배!$C$2:$C$355,"&lt;="&amp;$C41)=0,"",SUMIFS(국내SCHD형_분배!$D$2:$D$355,국내SCHD형_분배!$A$2:$A$355,"458730",국내SCHD형_분배!$C$2:$C$355,"&gt;="&amp;$B41,국내SCHD형_분배!$C$2:$C$355,"&lt;="&amp;$C41))</f>
        <v/>
      </c>
      <c r="E41" s="53">
        <f>IF(COUNTIFS(국내SCHD형_분배!$A$2:$A$355,"446720",국내SCHD형_분배!$C$2:$C$355,"&gt;="&amp;$B41,국내SCHD형_분배!$C$2:$C$355,"&lt;="&amp;$C41)=0,"",SUMIFS(국내SCHD형_분배!$D$2:$D$355,국내SCHD형_분배!$A$2:$A$355,"446720",국내SCHD형_분배!$C$2:$C$355,"&gt;="&amp;$B41,국내SCHD형_분배!$C$2:$C$355,"&lt;="&amp;$C41))</f>
        <v/>
      </c>
      <c r="F41" s="53">
        <f>IF(COUNTIFS(국내SCHD형_분배!$A$2:$A$355,"402970",국내SCHD형_분배!$C$2:$C$355,"&gt;="&amp;$B41,국내SCHD형_분배!$C$2:$C$355,"&lt;="&amp;$C41)=0,"",SUMIFS(국내SCHD형_분배!$D$2:$D$355,국내SCHD형_분배!$A$2:$A$355,"402970",국내SCHD형_분배!$C$2:$C$355,"&gt;="&amp;$B41,국내SCHD형_분배!$C$2:$C$355,"&lt;="&amp;$C41))</f>
        <v/>
      </c>
      <c r="G41" s="53">
        <f>IF(COUNTIFS(국내SCHD형_분배!$A$2:$A$355,"489250",국내SCHD형_분배!$C$2:$C$355,"&gt;="&amp;$B41,국내SCHD형_분배!$C$2:$C$355,"&lt;="&amp;$C41)=0,"",SUMIFS(국내SCHD형_분배!$D$2:$D$355,국내SCHD형_분배!$A$2:$A$355,"489250",국내SCHD형_분배!$C$2:$C$355,"&gt;="&amp;$B41,국내SCHD형_분배!$C$2:$C$355,"&lt;="&amp;$C41))</f>
        <v/>
      </c>
      <c r="H41" s="28">
        <f>IF(COUNTIFS(SCHD_배당!$C$2:$C$90,"&gt;="&amp;$B41,SCHD_배당!$C$2:$C$90,"&lt;="&amp;$C41)=0,"",SUMIFS(SCHD_배당!$G$2:$G$90,SCHD_배당!$C$2:$C$90,"&gt;="&amp;$B41,SCHD_배당!$C$2:$C$90,"&lt;="&amp;$C41))</f>
        <v/>
      </c>
      <c r="I41" s="32">
        <f>IF(H41="","",SUMIFS(SCHD_배당!$N$2:$N$90,SCHD_배당!$C$2:$C$90,"&gt;="&amp;$B41,SCHD_배당!$C$2:$C$90,"&lt;="&amp;$C41))</f>
        <v/>
      </c>
    </row>
    <row r="42">
      <c r="A42" s="59" t="inlineStr">
        <is>
          <t>2028 Q2</t>
        </is>
      </c>
      <c r="B42" s="52" t="n">
        <v>46844</v>
      </c>
      <c r="C42" s="52">
        <f>EDATE(B42,3)-1</f>
        <v/>
      </c>
      <c r="D42" s="53">
        <f>IF(COUNTIFS(국내SCHD형_분배!$A$2:$A$355,"458730",국내SCHD형_분배!$C$2:$C$355,"&gt;="&amp;$B42,국내SCHD형_분배!$C$2:$C$355,"&lt;="&amp;$C42)=0,"",SUMIFS(국내SCHD형_분배!$D$2:$D$355,국내SCHD형_분배!$A$2:$A$355,"458730",국내SCHD형_분배!$C$2:$C$355,"&gt;="&amp;$B42,국내SCHD형_분배!$C$2:$C$355,"&lt;="&amp;$C42))</f>
        <v/>
      </c>
      <c r="E42" s="53">
        <f>IF(COUNTIFS(국내SCHD형_분배!$A$2:$A$355,"446720",국내SCHD형_분배!$C$2:$C$355,"&gt;="&amp;$B42,국내SCHD형_분배!$C$2:$C$355,"&lt;="&amp;$C42)=0,"",SUMIFS(국내SCHD형_분배!$D$2:$D$355,국내SCHD형_분배!$A$2:$A$355,"446720",국내SCHD형_분배!$C$2:$C$355,"&gt;="&amp;$B42,국내SCHD형_분배!$C$2:$C$355,"&lt;="&amp;$C42))</f>
        <v/>
      </c>
      <c r="F42" s="53">
        <f>IF(COUNTIFS(국내SCHD형_분배!$A$2:$A$355,"402970",국내SCHD형_분배!$C$2:$C$355,"&gt;="&amp;$B42,국내SCHD형_분배!$C$2:$C$355,"&lt;="&amp;$C42)=0,"",SUMIFS(국내SCHD형_분배!$D$2:$D$355,국내SCHD형_분배!$A$2:$A$355,"402970",국내SCHD형_분배!$C$2:$C$355,"&gt;="&amp;$B42,국내SCHD형_분배!$C$2:$C$355,"&lt;="&amp;$C42))</f>
        <v/>
      </c>
      <c r="G42" s="53">
        <f>IF(COUNTIFS(국내SCHD형_분배!$A$2:$A$355,"489250",국내SCHD형_분배!$C$2:$C$355,"&gt;="&amp;$B42,국내SCHD형_분배!$C$2:$C$355,"&lt;="&amp;$C42)=0,"",SUMIFS(국내SCHD형_분배!$D$2:$D$355,국내SCHD형_분배!$A$2:$A$355,"489250",국내SCHD형_분배!$C$2:$C$355,"&gt;="&amp;$B42,국내SCHD형_분배!$C$2:$C$355,"&lt;="&amp;$C42))</f>
        <v/>
      </c>
      <c r="H42" s="28">
        <f>IF(COUNTIFS(SCHD_배당!$C$2:$C$90,"&gt;="&amp;$B42,SCHD_배당!$C$2:$C$90,"&lt;="&amp;$C42)=0,"",SUMIFS(SCHD_배당!$G$2:$G$90,SCHD_배당!$C$2:$C$90,"&gt;="&amp;$B42,SCHD_배당!$C$2:$C$90,"&lt;="&amp;$C42))</f>
        <v/>
      </c>
      <c r="I42" s="32">
        <f>IF(H42="","",SUMIFS(SCHD_배당!$N$2:$N$90,SCHD_배당!$C$2:$C$90,"&gt;="&amp;$B42,SCHD_배당!$C$2:$C$90,"&lt;="&amp;$C42))</f>
        <v/>
      </c>
    </row>
    <row r="43">
      <c r="A43" s="59" t="inlineStr">
        <is>
          <t>2028 Q3</t>
        </is>
      </c>
      <c r="B43" s="52" t="n">
        <v>46935</v>
      </c>
      <c r="C43" s="52">
        <f>EDATE(B43,3)-1</f>
        <v/>
      </c>
      <c r="D43" s="53">
        <f>IF(COUNTIFS(국내SCHD형_분배!$A$2:$A$355,"458730",국내SCHD형_분배!$C$2:$C$355,"&gt;="&amp;$B43,국내SCHD형_분배!$C$2:$C$355,"&lt;="&amp;$C43)=0,"",SUMIFS(국내SCHD형_분배!$D$2:$D$355,국내SCHD형_분배!$A$2:$A$355,"458730",국내SCHD형_분배!$C$2:$C$355,"&gt;="&amp;$B43,국내SCHD형_분배!$C$2:$C$355,"&lt;="&amp;$C43))</f>
        <v/>
      </c>
      <c r="E43" s="53">
        <f>IF(COUNTIFS(국내SCHD형_분배!$A$2:$A$355,"446720",국내SCHD형_분배!$C$2:$C$355,"&gt;="&amp;$B43,국내SCHD형_분배!$C$2:$C$355,"&lt;="&amp;$C43)=0,"",SUMIFS(국내SCHD형_분배!$D$2:$D$355,국내SCHD형_분배!$A$2:$A$355,"446720",국내SCHD형_분배!$C$2:$C$355,"&gt;="&amp;$B43,국내SCHD형_분배!$C$2:$C$355,"&lt;="&amp;$C43))</f>
        <v/>
      </c>
      <c r="F43" s="53">
        <f>IF(COUNTIFS(국내SCHD형_분배!$A$2:$A$355,"402970",국내SCHD형_분배!$C$2:$C$355,"&gt;="&amp;$B43,국내SCHD형_분배!$C$2:$C$355,"&lt;="&amp;$C43)=0,"",SUMIFS(국내SCHD형_분배!$D$2:$D$355,국내SCHD형_분배!$A$2:$A$355,"402970",국내SCHD형_분배!$C$2:$C$355,"&gt;="&amp;$B43,국내SCHD형_분배!$C$2:$C$355,"&lt;="&amp;$C43))</f>
        <v/>
      </c>
      <c r="G43" s="53">
        <f>IF(COUNTIFS(국내SCHD형_분배!$A$2:$A$355,"489250",국내SCHD형_분배!$C$2:$C$355,"&gt;="&amp;$B43,국내SCHD형_분배!$C$2:$C$355,"&lt;="&amp;$C43)=0,"",SUMIFS(국내SCHD형_분배!$D$2:$D$355,국내SCHD형_분배!$A$2:$A$355,"489250",국내SCHD형_분배!$C$2:$C$355,"&gt;="&amp;$B43,국내SCHD형_분배!$C$2:$C$355,"&lt;="&amp;$C43))</f>
        <v/>
      </c>
      <c r="H43" s="28">
        <f>IF(COUNTIFS(SCHD_배당!$C$2:$C$90,"&gt;="&amp;$B43,SCHD_배당!$C$2:$C$90,"&lt;="&amp;$C43)=0,"",SUMIFS(SCHD_배당!$G$2:$G$90,SCHD_배당!$C$2:$C$90,"&gt;="&amp;$B43,SCHD_배당!$C$2:$C$90,"&lt;="&amp;$C43))</f>
        <v/>
      </c>
      <c r="I43" s="32">
        <f>IF(H43="","",SUMIFS(SCHD_배당!$N$2:$N$90,SCHD_배당!$C$2:$C$90,"&gt;="&amp;$B43,SCHD_배당!$C$2:$C$90,"&lt;="&amp;$C43))</f>
        <v/>
      </c>
    </row>
    <row r="44">
      <c r="A44" s="59" t="inlineStr">
        <is>
          <t>2028 Q4</t>
        </is>
      </c>
      <c r="B44" s="52" t="n">
        <v>47027</v>
      </c>
      <c r="C44" s="52">
        <f>EDATE(B44,3)-1</f>
        <v/>
      </c>
      <c r="D44" s="53">
        <f>IF(COUNTIFS(국내SCHD형_분배!$A$2:$A$355,"458730",국내SCHD형_분배!$C$2:$C$355,"&gt;="&amp;$B44,국내SCHD형_분배!$C$2:$C$355,"&lt;="&amp;$C44)=0,"",SUMIFS(국내SCHD형_분배!$D$2:$D$355,국내SCHD형_분배!$A$2:$A$355,"458730",국내SCHD형_분배!$C$2:$C$355,"&gt;="&amp;$B44,국내SCHD형_분배!$C$2:$C$355,"&lt;="&amp;$C44))</f>
        <v/>
      </c>
      <c r="E44" s="53">
        <f>IF(COUNTIFS(국내SCHD형_분배!$A$2:$A$355,"446720",국내SCHD형_분배!$C$2:$C$355,"&gt;="&amp;$B44,국내SCHD형_분배!$C$2:$C$355,"&lt;="&amp;$C44)=0,"",SUMIFS(국내SCHD형_분배!$D$2:$D$355,국내SCHD형_분배!$A$2:$A$355,"446720",국내SCHD형_분배!$C$2:$C$355,"&gt;="&amp;$B44,국내SCHD형_분배!$C$2:$C$355,"&lt;="&amp;$C44))</f>
        <v/>
      </c>
      <c r="F44" s="53">
        <f>IF(COUNTIFS(국내SCHD형_분배!$A$2:$A$355,"402970",국내SCHD형_분배!$C$2:$C$355,"&gt;="&amp;$B44,국내SCHD형_분배!$C$2:$C$355,"&lt;="&amp;$C44)=0,"",SUMIFS(국내SCHD형_분배!$D$2:$D$355,국내SCHD형_분배!$A$2:$A$355,"402970",국내SCHD형_분배!$C$2:$C$355,"&gt;="&amp;$B44,국내SCHD형_분배!$C$2:$C$355,"&lt;="&amp;$C44))</f>
        <v/>
      </c>
      <c r="G44" s="53">
        <f>IF(COUNTIFS(국내SCHD형_분배!$A$2:$A$355,"489250",국내SCHD형_분배!$C$2:$C$355,"&gt;="&amp;$B44,국내SCHD형_분배!$C$2:$C$355,"&lt;="&amp;$C44)=0,"",SUMIFS(국내SCHD형_분배!$D$2:$D$355,국내SCHD형_분배!$A$2:$A$355,"489250",국내SCHD형_분배!$C$2:$C$355,"&gt;="&amp;$B44,국내SCHD형_분배!$C$2:$C$355,"&lt;="&amp;$C44))</f>
        <v/>
      </c>
      <c r="H44" s="28">
        <f>IF(COUNTIFS(SCHD_배당!$C$2:$C$90,"&gt;="&amp;$B44,SCHD_배당!$C$2:$C$90,"&lt;="&amp;$C44)=0,"",SUMIFS(SCHD_배당!$G$2:$G$90,SCHD_배당!$C$2:$C$90,"&gt;="&amp;$B44,SCHD_배당!$C$2:$C$90,"&lt;="&amp;$C44))</f>
        <v/>
      </c>
      <c r="I44" s="32">
        <f>IF(H44="","",SUMIFS(SCHD_배당!$N$2:$N$90,SCHD_배당!$C$2:$C$90,"&gt;="&amp;$B44,SCHD_배당!$C$2:$C$90,"&lt;="&amp;$C44))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13" customWidth="1" min="4" max="4"/>
    <col width="10" customWidth="1" min="5" max="5"/>
    <col width="8" customWidth="1" min="8" max="8"/>
    <col width="9" customWidth="1" min="9" max="9"/>
    <col width="30" customWidth="1" min="10" max="10"/>
    <col width="22" customWidth="1" min="11" max="11"/>
    <col width="18" customWidth="1" min="12" max="12"/>
    <col width="12" customWidth="1" min="13" max="13"/>
    <col width="22" customWidth="1" min="16" max="16"/>
    <col width="12" customWidth="1" min="17" max="17"/>
  </cols>
  <sheetData>
    <row r="1">
      <c r="A1" s="1" t="inlineStr">
        <is>
          <t>SCHD 구성종목</t>
        </is>
      </c>
    </row>
    <row r="2">
      <c r="A2" s="3" t="inlineStr">
        <is>
          <t>기준일</t>
        </is>
      </c>
      <c r="B2" s="49" t="n">
        <v>46296</v>
      </c>
      <c r="C2" s="2" t="inlineStr">
        <is>
          <t>← Schwab 공식 보유종목 CSV 기준일. 자동 갱신 시 매주 최신 목록으로 바뀝니다.</t>
        </is>
      </c>
    </row>
    <row r="4">
      <c r="A4" s="23" t="inlineStr">
        <is>
          <t>순위</t>
        </is>
      </c>
      <c r="B4" s="23" t="inlineStr">
        <is>
          <t>티커</t>
        </is>
      </c>
      <c r="C4" s="23" t="inlineStr">
        <is>
          <t>종목</t>
        </is>
      </c>
      <c r="D4" s="23" t="inlineStr">
        <is>
          <t>섹터</t>
        </is>
      </c>
      <c r="E4" s="23" t="inlineStr">
        <is>
          <t>비중</t>
        </is>
      </c>
      <c r="H4" s="23" t="inlineStr">
        <is>
          <t>티커</t>
        </is>
      </c>
      <c r="I4" s="23" t="inlineStr">
        <is>
          <t>비중</t>
        </is>
      </c>
      <c r="J4" s="23" t="inlineStr">
        <is>
          <t>종목명(영문)</t>
        </is>
      </c>
      <c r="K4" s="23" t="inlineStr">
        <is>
          <t>섹터(GICS)</t>
        </is>
      </c>
      <c r="L4" s="23" t="inlineStr">
        <is>
          <t>한글명</t>
        </is>
      </c>
      <c r="M4" s="23" t="inlineStr">
        <is>
          <t>섹터(한글)</t>
        </is>
      </c>
      <c r="P4" s="34" t="inlineStr">
        <is>
          <t>GICS 섹터</t>
        </is>
      </c>
      <c r="Q4" s="34" t="inlineStr">
        <is>
          <t>한글</t>
        </is>
      </c>
    </row>
    <row r="5">
      <c r="A5" s="35" t="n">
        <v>1</v>
      </c>
      <c r="B5" s="45">
        <f>INDEX($H$5:$H$166,MATCH(E5,$I$5:$I$166,0))</f>
        <v/>
      </c>
      <c r="C5" s="45">
        <f>IF(INDEX($L$5:$L$166,MATCH(E5,$I$5:$I$166,0))="",INDEX($J$5:$J$166,MATCH(E5,$I$5:$I$166,0)),INDEX($L$5:$L$166,MATCH(E5,$I$5:$I$166,0)))</f>
        <v/>
      </c>
      <c r="D5" s="45">
        <f>INDEX($M$5:$M$166,MATCH(E5,$I$5:$I$166,0))</f>
        <v/>
      </c>
      <c r="E5" s="60">
        <f>LARGE($I$5:$I$166,A5)</f>
        <v/>
      </c>
      <c r="H5" s="6" t="inlineStr">
        <is>
          <t>TXN</t>
        </is>
      </c>
      <c r="I5" s="61" t="n">
        <v>0.04689642</v>
      </c>
      <c r="J5" s="6" t="inlineStr">
        <is>
          <t>TEXAS INSTRUMENT INC</t>
        </is>
      </c>
      <c r="K5" s="6" t="inlineStr">
        <is>
          <t>Information Technology</t>
        </is>
      </c>
      <c r="L5" s="6" t="inlineStr">
        <is>
          <t>텍사스 인스트루먼트</t>
        </is>
      </c>
      <c r="M5" s="7">
        <f>IF(H5="","",IFERROR(VLOOKUP(K5,$P$5:$Q$15,2,FALSE),"현금·선물"))</f>
        <v/>
      </c>
      <c r="P5" s="2" t="inlineStr">
        <is>
          <t>Consumer Staples</t>
        </is>
      </c>
      <c r="Q5" s="2" t="inlineStr">
        <is>
          <t>필수소비재</t>
        </is>
      </c>
    </row>
    <row r="6">
      <c r="A6" s="35" t="n">
        <v>2</v>
      </c>
      <c r="B6" s="45">
        <f>INDEX($H$5:$H$166,MATCH(E6,$I$5:$I$166,0))</f>
        <v/>
      </c>
      <c r="C6" s="45">
        <f>IF(INDEX($L$5:$L$166,MATCH(E6,$I$5:$I$166,0))="",INDEX($J$5:$J$166,MATCH(E6,$I$5:$I$166,0)),INDEX($L$5:$L$166,MATCH(E6,$I$5:$I$166,0)))</f>
        <v/>
      </c>
      <c r="D6" s="45">
        <f>INDEX($M$5:$M$166,MATCH(E6,$I$5:$I$166,0))</f>
        <v/>
      </c>
      <c r="E6" s="60">
        <f>LARGE($I$5:$I$166,A6)</f>
        <v/>
      </c>
      <c r="H6" s="6" t="inlineStr">
        <is>
          <t>QCOM</t>
        </is>
      </c>
      <c r="I6" s="61" t="n">
        <v>0.04550867</v>
      </c>
      <c r="J6" s="6" t="inlineStr">
        <is>
          <t>QUALCOMM</t>
        </is>
      </c>
      <c r="K6" s="6" t="inlineStr">
        <is>
          <t>Information Technology</t>
        </is>
      </c>
      <c r="L6" s="6" t="inlineStr">
        <is>
          <t>퀄컴</t>
        </is>
      </c>
      <c r="M6" s="7">
        <f>IF(H6="","",IFERROR(VLOOKUP(K6,$P$5:$Q$15,2,FALSE),"현금·선물"))</f>
        <v/>
      </c>
      <c r="P6" s="2" t="inlineStr">
        <is>
          <t>Health Care</t>
        </is>
      </c>
      <c r="Q6" s="2" t="inlineStr">
        <is>
          <t>헬스케어</t>
        </is>
      </c>
    </row>
    <row r="7">
      <c r="A7" s="35" t="n">
        <v>3</v>
      </c>
      <c r="B7" s="45">
        <f>INDEX($H$5:$H$166,MATCH(E7,$I$5:$I$166,0))</f>
        <v/>
      </c>
      <c r="C7" s="45">
        <f>IF(INDEX($L$5:$L$166,MATCH(E7,$I$5:$I$166,0))="",INDEX($J$5:$J$166,MATCH(E7,$I$5:$I$166,0)),INDEX($L$5:$L$166,MATCH(E7,$I$5:$I$166,0)))</f>
        <v/>
      </c>
      <c r="D7" s="45">
        <f>INDEX($M$5:$M$166,MATCH(E7,$I$5:$I$166,0))</f>
        <v/>
      </c>
      <c r="E7" s="60">
        <f>LARGE($I$5:$I$166,A7)</f>
        <v/>
      </c>
      <c r="H7" s="6" t="inlineStr">
        <is>
          <t>CVX</t>
        </is>
      </c>
      <c r="I7" s="61" t="n">
        <v>0.0415384</v>
      </c>
      <c r="J7" s="6" t="inlineStr">
        <is>
          <t>CHEVRON</t>
        </is>
      </c>
      <c r="K7" s="6" t="inlineStr">
        <is>
          <t>Energy</t>
        </is>
      </c>
      <c r="L7" s="6" t="inlineStr">
        <is>
          <t>셰브론</t>
        </is>
      </c>
      <c r="M7" s="7">
        <f>IF(H7="","",IFERROR(VLOOKUP(K7,$P$5:$Q$15,2,FALSE),"현금·선물"))</f>
        <v/>
      </c>
      <c r="P7" s="2" t="inlineStr">
        <is>
          <t>Energy</t>
        </is>
      </c>
      <c r="Q7" s="2" t="inlineStr">
        <is>
          <t>에너지</t>
        </is>
      </c>
    </row>
    <row r="8">
      <c r="A8" s="35" t="n">
        <v>4</v>
      </c>
      <c r="B8" s="45">
        <f>INDEX($H$5:$H$166,MATCH(E8,$I$5:$I$166,0))</f>
        <v/>
      </c>
      <c r="C8" s="45">
        <f>IF(INDEX($L$5:$L$166,MATCH(E8,$I$5:$I$166,0))="",INDEX($J$5:$J$166,MATCH(E8,$I$5:$I$166,0)),INDEX($L$5:$L$166,MATCH(E8,$I$5:$I$166,0)))</f>
        <v/>
      </c>
      <c r="D8" s="45">
        <f>INDEX($M$5:$M$166,MATCH(E8,$I$5:$I$166,0))</f>
        <v/>
      </c>
      <c r="E8" s="60">
        <f>LARGE($I$5:$I$166,A8)</f>
        <v/>
      </c>
      <c r="H8" s="6" t="inlineStr">
        <is>
          <t>KO</t>
        </is>
      </c>
      <c r="I8" s="61" t="n">
        <v>0.04144697</v>
      </c>
      <c r="J8" s="6" t="inlineStr">
        <is>
          <t>COCA-COLA</t>
        </is>
      </c>
      <c r="K8" s="6" t="inlineStr">
        <is>
          <t>Consumer Staples</t>
        </is>
      </c>
      <c r="L8" s="6" t="inlineStr">
        <is>
          <t>코카콜라</t>
        </is>
      </c>
      <c r="M8" s="7">
        <f>IF(H8="","",IFERROR(VLOOKUP(K8,$P$5:$Q$15,2,FALSE),"현금·선물"))</f>
        <v/>
      </c>
      <c r="P8" s="2" t="inlineStr">
        <is>
          <t>Information Technology</t>
        </is>
      </c>
      <c r="Q8" s="2" t="inlineStr">
        <is>
          <t>정보기술</t>
        </is>
      </c>
    </row>
    <row r="9">
      <c r="A9" s="35" t="n">
        <v>5</v>
      </c>
      <c r="B9" s="45">
        <f>INDEX($H$5:$H$166,MATCH(E9,$I$5:$I$166,0))</f>
        <v/>
      </c>
      <c r="C9" s="45">
        <f>IF(INDEX($L$5:$L$166,MATCH(E9,$I$5:$I$166,0))="",INDEX($J$5:$J$166,MATCH(E9,$I$5:$I$166,0)),INDEX($L$5:$L$166,MATCH(E9,$I$5:$I$166,0)))</f>
        <v/>
      </c>
      <c r="D9" s="45">
        <f>INDEX($M$5:$M$166,MATCH(E9,$I$5:$I$166,0))</f>
        <v/>
      </c>
      <c r="E9" s="60">
        <f>LARGE($I$5:$I$166,A9)</f>
        <v/>
      </c>
      <c r="H9" s="6" t="inlineStr">
        <is>
          <t>PG</t>
        </is>
      </c>
      <c r="I9" s="61" t="n">
        <v>0.04141545</v>
      </c>
      <c r="J9" s="6" t="inlineStr">
        <is>
          <t>PROCTER &amp; GAMBLE</t>
        </is>
      </c>
      <c r="K9" s="6" t="inlineStr">
        <is>
          <t>Consumer Staples</t>
        </is>
      </c>
      <c r="L9" s="6" t="inlineStr">
        <is>
          <t>프록터앤드갬블</t>
        </is>
      </c>
      <c r="M9" s="7">
        <f>IF(H9="","",IFERROR(VLOOKUP(K9,$P$5:$Q$15,2,FALSE),"현금·선물"))</f>
        <v/>
      </c>
      <c r="P9" s="2" t="inlineStr">
        <is>
          <t>Industrials</t>
        </is>
      </c>
      <c r="Q9" s="2" t="inlineStr">
        <is>
          <t>산업재</t>
        </is>
      </c>
    </row>
    <row r="10">
      <c r="A10" s="35" t="n">
        <v>6</v>
      </c>
      <c r="B10" s="45">
        <f>INDEX($H$5:$H$166,MATCH(E10,$I$5:$I$166,0))</f>
        <v/>
      </c>
      <c r="C10" s="45">
        <f>IF(INDEX($L$5:$L$166,MATCH(E10,$I$5:$I$166,0))="",INDEX($J$5:$J$166,MATCH(E10,$I$5:$I$166,0)),INDEX($L$5:$L$166,MATCH(E10,$I$5:$I$166,0)))</f>
        <v/>
      </c>
      <c r="D10" s="45">
        <f>INDEX($M$5:$M$166,MATCH(E10,$I$5:$I$166,0))</f>
        <v/>
      </c>
      <c r="E10" s="60">
        <f>LARGE($I$5:$I$166,A10)</f>
        <v/>
      </c>
      <c r="H10" s="6" t="inlineStr">
        <is>
          <t>MRK</t>
        </is>
      </c>
      <c r="I10" s="61" t="n">
        <v>0.04028374999999999</v>
      </c>
      <c r="J10" s="6" t="inlineStr">
        <is>
          <t>MERCK &amp; CO INC</t>
        </is>
      </c>
      <c r="K10" s="6" t="inlineStr">
        <is>
          <t>Health Care</t>
        </is>
      </c>
      <c r="L10" s="6" t="inlineStr">
        <is>
          <t>머크</t>
        </is>
      </c>
      <c r="M10" s="7">
        <f>IF(H10="","",IFERROR(VLOOKUP(K10,$P$5:$Q$15,2,FALSE),"현금·선물"))</f>
        <v/>
      </c>
      <c r="P10" s="2" t="inlineStr">
        <is>
          <t>Financials</t>
        </is>
      </c>
      <c r="Q10" s="2" t="inlineStr">
        <is>
          <t>금융</t>
        </is>
      </c>
    </row>
    <row r="11">
      <c r="A11" s="35" t="n">
        <v>7</v>
      </c>
      <c r="B11" s="45">
        <f>INDEX($H$5:$H$166,MATCH(E11,$I$5:$I$166,0))</f>
        <v/>
      </c>
      <c r="C11" s="45">
        <f>IF(INDEX($L$5:$L$166,MATCH(E11,$I$5:$I$166,0))="",INDEX($J$5:$J$166,MATCH(E11,$I$5:$I$166,0)),INDEX($L$5:$L$166,MATCH(E11,$I$5:$I$166,0)))</f>
        <v/>
      </c>
      <c r="D11" s="45">
        <f>INDEX($M$5:$M$166,MATCH(E11,$I$5:$I$166,0))</f>
        <v/>
      </c>
      <c r="E11" s="60">
        <f>LARGE($I$5:$I$166,A11)</f>
        <v/>
      </c>
      <c r="H11" s="6" t="inlineStr">
        <is>
          <t>COP</t>
        </is>
      </c>
      <c r="I11" s="61" t="n">
        <v>0.0392874</v>
      </c>
      <c r="J11" s="6" t="inlineStr">
        <is>
          <t>CONOCOPHILLIPS</t>
        </is>
      </c>
      <c r="K11" s="6" t="inlineStr">
        <is>
          <t>Energy</t>
        </is>
      </c>
      <c r="L11" s="6" t="inlineStr">
        <is>
          <t>코노코필립스</t>
        </is>
      </c>
      <c r="M11" s="7">
        <f>IF(H11="","",IFERROR(VLOOKUP(K11,$P$5:$Q$15,2,FALSE),"현금·선물"))</f>
        <v/>
      </c>
      <c r="P11" s="2" t="inlineStr">
        <is>
          <t>Consumer Discretionary</t>
        </is>
      </c>
      <c r="Q11" s="2" t="inlineStr">
        <is>
          <t>경기소비재</t>
        </is>
      </c>
    </row>
    <row r="12">
      <c r="A12" s="35" t="n">
        <v>8</v>
      </c>
      <c r="B12" s="45">
        <f>INDEX($H$5:$H$166,MATCH(E12,$I$5:$I$166,0))</f>
        <v/>
      </c>
      <c r="C12" s="45">
        <f>IF(INDEX($L$5:$L$166,MATCH(E12,$I$5:$I$166,0))="",INDEX($J$5:$J$166,MATCH(E12,$I$5:$I$166,0)),INDEX($L$5:$L$166,MATCH(E12,$I$5:$I$166,0)))</f>
        <v/>
      </c>
      <c r="D12" s="45">
        <f>INDEX($M$5:$M$166,MATCH(E12,$I$5:$I$166,0))</f>
        <v/>
      </c>
      <c r="E12" s="60">
        <f>LARGE($I$5:$I$166,A12)</f>
        <v/>
      </c>
      <c r="H12" s="6" t="inlineStr">
        <is>
          <t>AMGN</t>
        </is>
      </c>
      <c r="I12" s="61" t="n">
        <v>0.03906517</v>
      </c>
      <c r="J12" s="6" t="inlineStr">
        <is>
          <t>AMGEN INC</t>
        </is>
      </c>
      <c r="K12" s="6" t="inlineStr">
        <is>
          <t>Health Care</t>
        </is>
      </c>
      <c r="L12" s="6" t="inlineStr">
        <is>
          <t>암젠</t>
        </is>
      </c>
      <c r="M12" s="7">
        <f>IF(H12="","",IFERROR(VLOOKUP(K12,$P$5:$Q$15,2,FALSE),"현금·선물"))</f>
        <v/>
      </c>
      <c r="P12" s="2" t="inlineStr">
        <is>
          <t>Communication Services</t>
        </is>
      </c>
      <c r="Q12" s="2" t="inlineStr">
        <is>
          <t>커뮤니케이션</t>
        </is>
      </c>
    </row>
    <row r="13">
      <c r="A13" s="35" t="n">
        <v>9</v>
      </c>
      <c r="B13" s="45">
        <f>INDEX($H$5:$H$166,MATCH(E13,$I$5:$I$166,0))</f>
        <v/>
      </c>
      <c r="C13" s="45">
        <f>IF(INDEX($L$5:$L$166,MATCH(E13,$I$5:$I$166,0))="",INDEX($J$5:$J$166,MATCH(E13,$I$5:$I$166,0)),INDEX($L$5:$L$166,MATCH(E13,$I$5:$I$166,0)))</f>
        <v/>
      </c>
      <c r="D13" s="45">
        <f>INDEX($M$5:$M$166,MATCH(E13,$I$5:$I$166,0))</f>
        <v/>
      </c>
      <c r="E13" s="60">
        <f>LARGE($I$5:$I$166,A13)</f>
        <v/>
      </c>
      <c r="H13" s="6" t="inlineStr">
        <is>
          <t>VZ</t>
        </is>
      </c>
      <c r="I13" s="61" t="n">
        <v>0.03889085</v>
      </c>
      <c r="J13" s="6" t="inlineStr">
        <is>
          <t>VERIZON COMMUNICATIONS INC</t>
        </is>
      </c>
      <c r="K13" s="6" t="inlineStr">
        <is>
          <t>Communication Services</t>
        </is>
      </c>
      <c r="L13" s="6" t="inlineStr">
        <is>
          <t>버라이즌</t>
        </is>
      </c>
      <c r="M13" s="7">
        <f>IF(H13="","",IFERROR(VLOOKUP(K13,$P$5:$Q$15,2,FALSE),"현금·선물"))</f>
        <v/>
      </c>
      <c r="P13" s="2" t="inlineStr">
        <is>
          <t>Utilities</t>
        </is>
      </c>
      <c r="Q13" s="2" t="inlineStr">
        <is>
          <t>유틸리티</t>
        </is>
      </c>
    </row>
    <row r="14">
      <c r="A14" s="35" t="n">
        <v>10</v>
      </c>
      <c r="B14" s="45">
        <f>INDEX($H$5:$H$166,MATCH(E14,$I$5:$I$166,0))</f>
        <v/>
      </c>
      <c r="C14" s="45">
        <f>IF(INDEX($L$5:$L$166,MATCH(E14,$I$5:$I$166,0))="",INDEX($J$5:$J$166,MATCH(E14,$I$5:$I$166,0)),INDEX($L$5:$L$166,MATCH(E14,$I$5:$I$166,0)))</f>
        <v/>
      </c>
      <c r="D14" s="45">
        <f>INDEX($M$5:$M$166,MATCH(E14,$I$5:$I$166,0))</f>
        <v/>
      </c>
      <c r="E14" s="60">
        <f>LARGE($I$5:$I$166,A14)</f>
        <v/>
      </c>
      <c r="H14" s="6" t="inlineStr">
        <is>
          <t>UNH</t>
        </is>
      </c>
      <c r="I14" s="61" t="n">
        <v>0.03881456</v>
      </c>
      <c r="J14" s="6" t="inlineStr">
        <is>
          <t>UNITEDHEALTH GROUP</t>
        </is>
      </c>
      <c r="K14" s="6" t="inlineStr">
        <is>
          <t>Health Care</t>
        </is>
      </c>
      <c r="L14" s="6" t="inlineStr">
        <is>
          <t>유나이티드헬스</t>
        </is>
      </c>
      <c r="M14" s="7">
        <f>IF(H14="","",IFERROR(VLOOKUP(K14,$P$5:$Q$15,2,FALSE),"현금·선물"))</f>
        <v/>
      </c>
      <c r="P14" s="2" t="inlineStr">
        <is>
          <t>Real Estate</t>
        </is>
      </c>
      <c r="Q14" s="2" t="inlineStr">
        <is>
          <t>부동산</t>
        </is>
      </c>
    </row>
    <row r="15">
      <c r="C15" s="4" t="inlineStr">
        <is>
          <t>기타 (나머지 종목)</t>
        </is>
      </c>
      <c r="E15" s="62">
        <f>SUM($I$5:$I$166)-SUM(E5:E14)</f>
        <v/>
      </c>
      <c r="H15" s="6" t="inlineStr">
        <is>
          <t>PEP</t>
        </is>
      </c>
      <c r="I15" s="61" t="n">
        <v>0.03796702</v>
      </c>
      <c r="J15" s="6" t="inlineStr">
        <is>
          <t>PEPSICO</t>
        </is>
      </c>
      <c r="K15" s="6" t="inlineStr">
        <is>
          <t>Consumer Staples</t>
        </is>
      </c>
      <c r="L15" s="6" t="inlineStr">
        <is>
          <t>펩시코</t>
        </is>
      </c>
      <c r="M15" s="7">
        <f>IF(H15="","",IFERROR(VLOOKUP(K15,$P$5:$Q$15,2,FALSE),"현금·선물"))</f>
        <v/>
      </c>
      <c r="P15" s="2" t="inlineStr">
        <is>
          <t>Materials</t>
        </is>
      </c>
      <c r="Q15" s="2" t="inlineStr">
        <is>
          <t>소재</t>
        </is>
      </c>
    </row>
    <row r="16">
      <c r="C16" s="3" t="inlineStr">
        <is>
          <t>합계</t>
        </is>
      </c>
      <c r="E16" s="63">
        <f>SUM(E5:E15)</f>
        <v/>
      </c>
      <c r="H16" s="6" t="inlineStr">
        <is>
          <t>HD</t>
        </is>
      </c>
      <c r="I16" s="61" t="n">
        <v>0.03766936</v>
      </c>
      <c r="J16" s="6" t="inlineStr">
        <is>
          <t>HOME DEPOT</t>
        </is>
      </c>
      <c r="K16" s="6" t="inlineStr">
        <is>
          <t>Consumer Discretionary</t>
        </is>
      </c>
      <c r="L16" s="6" t="inlineStr">
        <is>
          <t>홈디포</t>
        </is>
      </c>
      <c r="M16" s="7">
        <f>IF(H16="","",IFERROR(VLOOKUP(K16,$P$5:$Q$15,2,FALSE),"현금·선물"))</f>
        <v/>
      </c>
    </row>
    <row r="17">
      <c r="C17" s="4" t="inlineStr">
        <is>
          <t>TOP10 합계</t>
        </is>
      </c>
      <c r="E17" s="62">
        <f>SUM(E5:E14)</f>
        <v/>
      </c>
      <c r="H17" s="6" t="inlineStr">
        <is>
          <t>ABT</t>
        </is>
      </c>
      <c r="I17" s="61" t="n">
        <v>0.03717853</v>
      </c>
      <c r="J17" s="6" t="inlineStr">
        <is>
          <t>ABBOTT LABORATORIES</t>
        </is>
      </c>
      <c r="K17" s="6" t="inlineStr">
        <is>
          <t>Health Care</t>
        </is>
      </c>
      <c r="L17" s="6" t="inlineStr">
        <is>
          <t>애보트</t>
        </is>
      </c>
      <c r="M17" s="7">
        <f>IF(H17="","",IFERROR(VLOOKUP(K17,$P$5:$Q$15,2,FALSE),"현금·선물"))</f>
        <v/>
      </c>
    </row>
    <row r="18">
      <c r="C18" s="4" t="inlineStr">
        <is>
          <t>보유 종목 수(현금·선물 제외)</t>
        </is>
      </c>
      <c r="E18" s="64">
        <f>SUMPRODUCT(($H$5:$H$166&lt;&gt;"")*($M$5:$M$166&lt;&gt;"현금·선물"))</f>
        <v/>
      </c>
      <c r="H18" s="6" t="inlineStr">
        <is>
          <t>ACN</t>
        </is>
      </c>
      <c r="I18" s="61" t="n">
        <v>0.0334379</v>
      </c>
      <c r="J18" s="6" t="inlineStr">
        <is>
          <t>ACCENTURE PLC CLASS A</t>
        </is>
      </c>
      <c r="K18" s="6" t="inlineStr">
        <is>
          <t>Information Technology</t>
        </is>
      </c>
      <c r="L18" s="6" t="inlineStr">
        <is>
          <t>액센츄어</t>
        </is>
      </c>
      <c r="M18" s="7">
        <f>IF(H18="","",IFERROR(VLOOKUP(K18,$P$5:$Q$15,2,FALSE),"현금·선물"))</f>
        <v/>
      </c>
    </row>
    <row r="19">
      <c r="H19" s="6" t="inlineStr">
        <is>
          <t>BMY</t>
        </is>
      </c>
      <c r="I19" s="61" t="n">
        <v>0.03231321</v>
      </c>
      <c r="J19" s="6" t="inlineStr">
        <is>
          <t>BRISTOL MYERS SQUIBB</t>
        </is>
      </c>
      <c r="K19" s="6" t="inlineStr">
        <is>
          <t>Health Care</t>
        </is>
      </c>
      <c r="L19" s="6" t="inlineStr">
        <is>
          <t>브리스톨마이어스스퀴브</t>
        </is>
      </c>
      <c r="M19" s="7">
        <f>IF(H19="","",IFERROR(VLOOKUP(K19,$P$5:$Q$15,2,FALSE),"현금·선물"))</f>
        <v/>
      </c>
    </row>
    <row r="20">
      <c r="A20" s="3" t="inlineStr">
        <is>
          <t>섹터 비중</t>
        </is>
      </c>
      <c r="H20" s="6" t="inlineStr">
        <is>
          <t>MO</t>
        </is>
      </c>
      <c r="I20" s="61" t="n">
        <v>0.02877269</v>
      </c>
      <c r="J20" s="6" t="inlineStr">
        <is>
          <t>ALTRIA GROUP INC</t>
        </is>
      </c>
      <c r="K20" s="6" t="inlineStr">
        <is>
          <t>Consumer Staples</t>
        </is>
      </c>
      <c r="L20" s="6" t="inlineStr">
        <is>
          <t>알트리아</t>
        </is>
      </c>
      <c r="M20" s="7">
        <f>IF(H20="","",IFERROR(VLOOKUP(K20,$P$5:$Q$15,2,FALSE),"현금·선물"))</f>
        <v/>
      </c>
    </row>
    <row r="21">
      <c r="C21" s="23" t="inlineStr">
        <is>
          <t>섹터</t>
        </is>
      </c>
      <c r="E21" s="23" t="inlineStr">
        <is>
          <t>비중</t>
        </is>
      </c>
      <c r="H21" s="6" t="inlineStr">
        <is>
          <t>ADP</t>
        </is>
      </c>
      <c r="I21" s="61" t="n">
        <v>0.02698947</v>
      </c>
      <c r="J21" s="6" t="inlineStr">
        <is>
          <t>AUTOMATIC DATA PROCESSING INC</t>
        </is>
      </c>
      <c r="K21" s="6" t="inlineStr">
        <is>
          <t>Industrials</t>
        </is>
      </c>
      <c r="L21" s="6" t="inlineStr">
        <is>
          <t>ADP</t>
        </is>
      </c>
      <c r="M21" s="7">
        <f>IF(H21="","",IFERROR(VLOOKUP(K21,$P$5:$Q$15,2,FALSE),"현금·선물"))</f>
        <v/>
      </c>
    </row>
    <row r="22">
      <c r="C22" s="12" t="inlineStr">
        <is>
          <t>필수소비재</t>
        </is>
      </c>
      <c r="E22" s="60">
        <f>SUMIFS($I$5:$I$166,$M$5:$M$166,C22)</f>
        <v/>
      </c>
      <c r="H22" s="6" t="inlineStr">
        <is>
          <t>LMT</t>
        </is>
      </c>
      <c r="I22" s="61" t="n">
        <v>0.02642419</v>
      </c>
      <c r="J22" s="6" t="inlineStr">
        <is>
          <t>LOCKHEED MARTIN CORP</t>
        </is>
      </c>
      <c r="K22" s="6" t="inlineStr">
        <is>
          <t>Industrials</t>
        </is>
      </c>
      <c r="L22" s="6" t="inlineStr">
        <is>
          <t>록히드마틴</t>
        </is>
      </c>
      <c r="M22" s="7">
        <f>IF(H22="","",IFERROR(VLOOKUP(K22,$P$5:$Q$15,2,FALSE),"현금·선물"))</f>
        <v/>
      </c>
    </row>
    <row r="23">
      <c r="C23" s="12" t="inlineStr">
        <is>
          <t>헬스케어</t>
        </is>
      </c>
      <c r="E23" s="60">
        <f>SUMIFS($I$5:$I$166,$M$5:$M$166,C23)</f>
        <v/>
      </c>
      <c r="H23" s="6" t="inlineStr">
        <is>
          <t>BX</t>
        </is>
      </c>
      <c r="I23" s="61" t="n">
        <v>0.02168454</v>
      </c>
      <c r="J23" s="6" t="inlineStr">
        <is>
          <t>BLACKSTONE</t>
        </is>
      </c>
      <c r="K23" s="6" t="inlineStr">
        <is>
          <t>Financials</t>
        </is>
      </c>
      <c r="L23" s="6" t="inlineStr">
        <is>
          <t>블랙스톤</t>
        </is>
      </c>
      <c r="M23" s="7">
        <f>IF(H23="","",IFERROR(VLOOKUP(K23,$P$5:$Q$15,2,FALSE),"현금·선물"))</f>
        <v/>
      </c>
    </row>
    <row r="24">
      <c r="C24" s="12" t="inlineStr">
        <is>
          <t>에너지</t>
        </is>
      </c>
      <c r="E24" s="60">
        <f>SUMIFS($I$5:$I$166,$M$5:$M$166,C24)</f>
        <v/>
      </c>
      <c r="H24" s="6" t="inlineStr">
        <is>
          <t>CMCSA</t>
        </is>
      </c>
      <c r="I24" s="61" t="n">
        <v>0.01976715</v>
      </c>
      <c r="J24" s="6" t="inlineStr">
        <is>
          <t>COMCAST CLASS A</t>
        </is>
      </c>
      <c r="K24" s="6" t="inlineStr">
        <is>
          <t>Communication Services</t>
        </is>
      </c>
      <c r="L24" s="6" t="inlineStr">
        <is>
          <t>컴캐스트</t>
        </is>
      </c>
      <c r="M24" s="7">
        <f>IF(H24="","",IFERROR(VLOOKUP(K24,$P$5:$Q$15,2,FALSE),"현금·선물"))</f>
        <v/>
      </c>
    </row>
    <row r="25">
      <c r="C25" s="12" t="inlineStr">
        <is>
          <t>정보기술</t>
        </is>
      </c>
      <c r="E25" s="60">
        <f>SUMIFS($I$5:$I$166,$M$5:$M$166,C25)</f>
        <v/>
      </c>
      <c r="H25" s="6" t="inlineStr">
        <is>
          <t>EOG</t>
        </is>
      </c>
      <c r="I25" s="61" t="n">
        <v>0.01907754</v>
      </c>
      <c r="J25" s="6" t="inlineStr">
        <is>
          <t>EOG RESOURCES</t>
        </is>
      </c>
      <c r="K25" s="6" t="inlineStr">
        <is>
          <t>Energy</t>
        </is>
      </c>
      <c r="L25" s="6" t="inlineStr">
        <is>
          <t>EOG 리소시스</t>
        </is>
      </c>
      <c r="M25" s="7">
        <f>IF(H25="","",IFERROR(VLOOKUP(K25,$P$5:$Q$15,2,FALSE),"현금·선물"))</f>
        <v/>
      </c>
    </row>
    <row r="26">
      <c r="C26" s="12" t="inlineStr">
        <is>
          <t>산업재</t>
        </is>
      </c>
      <c r="E26" s="60">
        <f>SUMIFS($I$5:$I$166,$M$5:$M$166,C26)</f>
        <v/>
      </c>
      <c r="H26" s="6" t="inlineStr">
        <is>
          <t>SLB</t>
        </is>
      </c>
      <c r="I26" s="61" t="n">
        <v>0.01858779</v>
      </c>
      <c r="J26" s="6" t="inlineStr">
        <is>
          <t>SLB</t>
        </is>
      </c>
      <c r="K26" s="6" t="inlineStr">
        <is>
          <t>Energy</t>
        </is>
      </c>
      <c r="L26" s="6" t="inlineStr">
        <is>
          <t>SLB</t>
        </is>
      </c>
      <c r="M26" s="7">
        <f>IF(H26="","",IFERROR(VLOOKUP(K26,$P$5:$Q$15,2,FALSE),"현금·선물"))</f>
        <v/>
      </c>
    </row>
    <row r="27">
      <c r="C27" s="12" t="inlineStr">
        <is>
          <t>금융</t>
        </is>
      </c>
      <c r="E27" s="60">
        <f>SUMIFS($I$5:$I$166,$M$5:$M$166,C27)</f>
        <v/>
      </c>
      <c r="H27" s="6" t="inlineStr">
        <is>
          <t>TGT</t>
        </is>
      </c>
      <c r="I27" s="61" t="n">
        <v>0.01831834</v>
      </c>
      <c r="J27" s="6" t="inlineStr">
        <is>
          <t>TARGET CORP</t>
        </is>
      </c>
      <c r="K27" s="6" t="inlineStr">
        <is>
          <t>Consumer Staples</t>
        </is>
      </c>
      <c r="L27" s="6" t="inlineStr">
        <is>
          <t>타깃</t>
        </is>
      </c>
      <c r="M27" s="7">
        <f>IF(H27="","",IFERROR(VLOOKUP(K27,$P$5:$Q$15,2,FALSE),"현금·선물"))</f>
        <v/>
      </c>
    </row>
    <row r="28">
      <c r="C28" s="12" t="inlineStr">
        <is>
          <t>경기소비재</t>
        </is>
      </c>
      <c r="E28" s="60">
        <f>SUMIFS($I$5:$I$166,$M$5:$M$166,C28)</f>
        <v/>
      </c>
      <c r="H28" s="6" t="inlineStr">
        <is>
          <t>UPS</t>
        </is>
      </c>
      <c r="I28" s="61" t="n">
        <v>0.01810852</v>
      </c>
      <c r="J28" s="6" t="inlineStr">
        <is>
          <t>UNITED PARCEL SERVICE INC CLASS B</t>
        </is>
      </c>
      <c r="K28" s="6" t="inlineStr">
        <is>
          <t>Industrials</t>
        </is>
      </c>
      <c r="L28" s="6" t="inlineStr">
        <is>
          <t>UPS</t>
        </is>
      </c>
      <c r="M28" s="7">
        <f>IF(H28="","",IFERROR(VLOOKUP(K28,$P$5:$Q$15,2,FALSE),"현금·선물"))</f>
        <v/>
      </c>
    </row>
    <row r="29">
      <c r="C29" s="12" t="inlineStr">
        <is>
          <t>커뮤니케이션</t>
        </is>
      </c>
      <c r="E29" s="60">
        <f>SUMIFS($I$5:$I$166,$M$5:$M$166,C29)</f>
        <v/>
      </c>
      <c r="H29" s="6" t="inlineStr">
        <is>
          <t>FAST</t>
        </is>
      </c>
      <c r="I29" s="61" t="n">
        <v>0.01483377</v>
      </c>
      <c r="J29" s="6" t="inlineStr">
        <is>
          <t>FASTENAL</t>
        </is>
      </c>
      <c r="K29" s="6" t="inlineStr">
        <is>
          <t>Industrials</t>
        </is>
      </c>
      <c r="L29" s="6" t="inlineStr">
        <is>
          <t>패스널</t>
        </is>
      </c>
      <c r="M29" s="7">
        <f>IF(H29="","",IFERROR(VLOOKUP(K29,$P$5:$Q$15,2,FALSE),"현금·선물"))</f>
        <v/>
      </c>
    </row>
    <row r="30">
      <c r="C30" s="12" t="inlineStr">
        <is>
          <t>유틸리티</t>
        </is>
      </c>
      <c r="E30" s="60">
        <f>SUMIFS($I$5:$I$166,$M$5:$M$166,C30)</f>
        <v/>
      </c>
      <c r="H30" s="6" t="inlineStr">
        <is>
          <t>OKE</t>
        </is>
      </c>
      <c r="I30" s="61" t="n">
        <v>0.01414139</v>
      </c>
      <c r="J30" s="6" t="inlineStr">
        <is>
          <t>ONEOK</t>
        </is>
      </c>
      <c r="K30" s="6" t="inlineStr">
        <is>
          <t>Energy</t>
        </is>
      </c>
      <c r="L30" s="6" t="inlineStr"/>
      <c r="M30" s="7">
        <f>IF(H30="","",IFERROR(VLOOKUP(K30,$P$5:$Q$15,2,FALSE),"현금·선물"))</f>
        <v/>
      </c>
    </row>
    <row r="31">
      <c r="C31" s="12" t="inlineStr">
        <is>
          <t>현금·선물</t>
        </is>
      </c>
      <c r="E31" s="60">
        <f>SUMIFS($I$5:$I$166,$M$5:$M$166,C31)</f>
        <v/>
      </c>
      <c r="H31" s="6" t="inlineStr">
        <is>
          <t>DVN</t>
        </is>
      </c>
      <c r="I31" s="61" t="n">
        <v>0.01335199</v>
      </c>
      <c r="J31" s="6" t="inlineStr">
        <is>
          <t>DEVON ENERGY</t>
        </is>
      </c>
      <c r="K31" s="6" t="inlineStr">
        <is>
          <t>Energy</t>
        </is>
      </c>
      <c r="L31" s="6" t="inlineStr"/>
      <c r="M31" s="7">
        <f>IF(H31="","",IFERROR(VLOOKUP(K31,$P$5:$Q$15,2,FALSE),"현금·선물"))</f>
        <v/>
      </c>
    </row>
    <row r="32">
      <c r="H32" s="6" t="inlineStr">
        <is>
          <t>F</t>
        </is>
      </c>
      <c r="I32" s="61" t="n">
        <v>0.01236943</v>
      </c>
      <c r="J32" s="6" t="inlineStr">
        <is>
          <t>FORD MOTOR</t>
        </is>
      </c>
      <c r="K32" s="6" t="inlineStr">
        <is>
          <t>Consumer Discretionary</t>
        </is>
      </c>
      <c r="L32" s="6" t="inlineStr"/>
      <c r="M32" s="7">
        <f>IF(H32="","",IFERROR(VLOOKUP(K32,$P$5:$Q$15,2,FALSE),"현금·선물"))</f>
        <v/>
      </c>
    </row>
    <row r="33">
      <c r="A33" s="2" t="inlineStr">
        <is>
          <t>출처: Schwab Asset Management, SCHD 보유종목 전체 목록(Export All Holdings). 비중은 순자산 대비 %. 종목 정보는 투자 권유가 아닙니다.</t>
        </is>
      </c>
      <c r="H33" s="6" t="inlineStr">
        <is>
          <t>FITB</t>
        </is>
      </c>
      <c r="I33" s="61" t="n">
        <v>0.01176663</v>
      </c>
      <c r="J33" s="6" t="inlineStr">
        <is>
          <t>FIFTH THIRD BANCORP</t>
        </is>
      </c>
      <c r="K33" s="6" t="inlineStr">
        <is>
          <t>Financials</t>
        </is>
      </c>
      <c r="L33" s="6" t="inlineStr"/>
      <c r="M33" s="7">
        <f>IF(H33="","",IFERROR(VLOOKUP(K33,$P$5:$Q$15,2,FALSE),"현금·선물"))</f>
        <v/>
      </c>
    </row>
    <row r="34">
      <c r="H34" s="6" t="inlineStr">
        <is>
          <t>ADM</t>
        </is>
      </c>
      <c r="I34" s="61" t="n">
        <v>0.009864319999999999</v>
      </c>
      <c r="J34" s="6" t="inlineStr">
        <is>
          <t>ARCHER DANIELS MIDLAND</t>
        </is>
      </c>
      <c r="K34" s="6" t="inlineStr">
        <is>
          <t>Consumer Staples</t>
        </is>
      </c>
      <c r="L34" s="6" t="inlineStr"/>
      <c r="M34" s="7">
        <f>IF(H34="","",IFERROR(VLOOKUP(K34,$P$5:$Q$15,2,FALSE),"현금·선물"))</f>
        <v/>
      </c>
    </row>
    <row r="35">
      <c r="H35" s="6" t="inlineStr">
        <is>
          <t>PAYX</t>
        </is>
      </c>
      <c r="I35" s="61" t="n">
        <v>0.008308400000000001</v>
      </c>
      <c r="J35" s="6" t="inlineStr">
        <is>
          <t>PAYCHEX</t>
        </is>
      </c>
      <c r="K35" s="6" t="inlineStr">
        <is>
          <t>Industrials</t>
        </is>
      </c>
      <c r="L35" s="6" t="inlineStr"/>
      <c r="M35" s="7">
        <f>IF(H35="","",IFERROR(VLOOKUP(K35,$P$5:$Q$15,2,FALSE),"현금·선물"))</f>
        <v/>
      </c>
    </row>
    <row r="36">
      <c r="H36" s="6" t="inlineStr">
        <is>
          <t>KMB</t>
        </is>
      </c>
      <c r="I36" s="61" t="n">
        <v>0.008075489999999999</v>
      </c>
      <c r="J36" s="6" t="inlineStr">
        <is>
          <t>KIMBERLY CLARK</t>
        </is>
      </c>
      <c r="K36" s="6" t="inlineStr">
        <is>
          <t>Consumer Staples</t>
        </is>
      </c>
      <c r="L36" s="6" t="inlineStr"/>
      <c r="M36" s="7">
        <f>IF(H36="","",IFERROR(VLOOKUP(K36,$P$5:$Q$15,2,FALSE),"현금·선물"))</f>
        <v/>
      </c>
    </row>
    <row r="37">
      <c r="H37" s="6" t="inlineStr">
        <is>
          <t>ARES</t>
        </is>
      </c>
      <c r="I37" s="61" t="n">
        <v>0.00671941</v>
      </c>
      <c r="J37" s="6" t="inlineStr">
        <is>
          <t>ARES MANAGEMENT CLASS A</t>
        </is>
      </c>
      <c r="K37" s="6" t="inlineStr">
        <is>
          <t>Financials</t>
        </is>
      </c>
      <c r="L37" s="6" t="inlineStr"/>
      <c r="M37" s="7">
        <f>IF(H37="","",IFERROR(VLOOKUP(K37,$P$5:$Q$15,2,FALSE),"현금·선물"))</f>
        <v/>
      </c>
    </row>
    <row r="38">
      <c r="H38" s="6" t="inlineStr">
        <is>
          <t>CINF</t>
        </is>
      </c>
      <c r="I38" s="61" t="n">
        <v>0.00640636</v>
      </c>
      <c r="J38" s="6" t="inlineStr">
        <is>
          <t>CINCINNATI FINANCIAL</t>
        </is>
      </c>
      <c r="K38" s="6" t="inlineStr">
        <is>
          <t>Financials</t>
        </is>
      </c>
      <c r="L38" s="6" t="inlineStr"/>
      <c r="M38" s="7">
        <f>IF(H38="","",IFERROR(VLOOKUP(K38,$P$5:$Q$15,2,FALSE),"현금·선물"))</f>
        <v/>
      </c>
    </row>
    <row r="39">
      <c r="H39" s="6" t="inlineStr">
        <is>
          <t>HSY</t>
        </is>
      </c>
      <c r="I39" s="61" t="n">
        <v>0.00599892</v>
      </c>
      <c r="J39" s="6" t="inlineStr">
        <is>
          <t>HERSHEY FOODS</t>
        </is>
      </c>
      <c r="K39" s="6" t="inlineStr">
        <is>
          <t>Consumer Staples</t>
        </is>
      </c>
      <c r="L39" s="6" t="inlineStr"/>
      <c r="M39" s="7">
        <f>IF(H39="","",IFERROR(VLOOKUP(K39,$P$5:$Q$15,2,FALSE),"현금·선물"))</f>
        <v/>
      </c>
    </row>
    <row r="40">
      <c r="H40" s="6" t="inlineStr">
        <is>
          <t>RF</t>
        </is>
      </c>
      <c r="I40" s="61" t="n">
        <v>0.00591158</v>
      </c>
      <c r="J40" s="6" t="inlineStr">
        <is>
          <t>REGIONS FINANCIAL</t>
        </is>
      </c>
      <c r="K40" s="6" t="inlineStr">
        <is>
          <t>Financials</t>
        </is>
      </c>
      <c r="L40" s="6" t="inlineStr"/>
      <c r="M40" s="7">
        <f>IF(H40="","",IFERROR(VLOOKUP(K40,$P$5:$Q$15,2,FALSE),"현금·선물"))</f>
        <v/>
      </c>
    </row>
    <row r="41">
      <c r="H41" s="6" t="inlineStr">
        <is>
          <t>TROW</t>
        </is>
      </c>
      <c r="I41" s="61" t="n">
        <v>0.00581045</v>
      </c>
      <c r="J41" s="6" t="inlineStr">
        <is>
          <t>T ROWE PRICE GROUP</t>
        </is>
      </c>
      <c r="K41" s="6" t="inlineStr">
        <is>
          <t>Financials</t>
        </is>
      </c>
      <c r="L41" s="6" t="inlineStr"/>
      <c r="M41" s="7">
        <f>IF(H41="","",IFERROR(VLOOKUP(K41,$P$5:$Q$15,2,FALSE),"현금·선물"))</f>
        <v/>
      </c>
    </row>
    <row r="42">
      <c r="H42" s="6" t="inlineStr">
        <is>
          <t>DRI</t>
        </is>
      </c>
      <c r="I42" s="61" t="n">
        <v>0.005768990000000001</v>
      </c>
      <c r="J42" s="6" t="inlineStr">
        <is>
          <t>DARDEN RESTAURANTS INC</t>
        </is>
      </c>
      <c r="K42" s="6" t="inlineStr">
        <is>
          <t>Consumer Discretionary</t>
        </is>
      </c>
      <c r="L42" s="6" t="inlineStr"/>
      <c r="M42" s="7">
        <f>IF(H42="","",IFERROR(VLOOKUP(K42,$P$5:$Q$15,2,FALSE),"현금·선물"))</f>
        <v/>
      </c>
    </row>
    <row r="43">
      <c r="H43" s="6" t="inlineStr">
        <is>
          <t>PFG</t>
        </is>
      </c>
      <c r="I43" s="61" t="n">
        <v>0.005628490000000001</v>
      </c>
      <c r="J43" s="6" t="inlineStr">
        <is>
          <t>PRINCIPAL FINANCIAL GROUP INC</t>
        </is>
      </c>
      <c r="K43" s="6" t="inlineStr">
        <is>
          <t>Financials</t>
        </is>
      </c>
      <c r="L43" s="6" t="inlineStr"/>
      <c r="M43" s="7">
        <f>IF(H43="","",IFERROR(VLOOKUP(K43,$P$5:$Q$15,2,FALSE),"현금·선물"))</f>
        <v/>
      </c>
    </row>
    <row r="44">
      <c r="H44" s="6" t="inlineStr">
        <is>
          <t>SNA</t>
        </is>
      </c>
      <c r="I44" s="61" t="n">
        <v>0.00489553</v>
      </c>
      <c r="J44" s="6" t="inlineStr">
        <is>
          <t>SNAP ON INC</t>
        </is>
      </c>
      <c r="K44" s="6" t="inlineStr">
        <is>
          <t>Industrials</t>
        </is>
      </c>
      <c r="L44" s="6" t="inlineStr"/>
      <c r="M44" s="7">
        <f>IF(H44="","",IFERROR(VLOOKUP(K44,$P$5:$Q$15,2,FALSE),"현금·선물"))</f>
        <v/>
      </c>
    </row>
    <row r="45">
      <c r="H45" s="6" t="inlineStr">
        <is>
          <t>BR</t>
        </is>
      </c>
      <c r="I45" s="61" t="n">
        <v>0.00472924</v>
      </c>
      <c r="J45" s="6" t="inlineStr">
        <is>
          <t>BROADRIDGE FINANCIAL SOLUTIONS INC</t>
        </is>
      </c>
      <c r="K45" s="6" t="inlineStr">
        <is>
          <t>Industrials</t>
        </is>
      </c>
      <c r="L45" s="6" t="inlineStr"/>
      <c r="M45" s="7">
        <f>IF(H45="","",IFERROR(VLOOKUP(K45,$P$5:$Q$15,2,FALSE),"현금·선물"))</f>
        <v/>
      </c>
    </row>
    <row r="46">
      <c r="H46" s="6" t="inlineStr">
        <is>
          <t>DINO</t>
        </is>
      </c>
      <c r="I46" s="61" t="n">
        <v>0.00448701</v>
      </c>
      <c r="J46" s="6" t="inlineStr">
        <is>
          <t>HF SINCLAIR</t>
        </is>
      </c>
      <c r="K46" s="6" t="inlineStr">
        <is>
          <t>Energy</t>
        </is>
      </c>
      <c r="L46" s="6" t="inlineStr"/>
      <c r="M46" s="7">
        <f>IF(H46="","",IFERROR(VLOOKUP(K46,$P$5:$Q$15,2,FALSE),"현금·선물"))</f>
        <v/>
      </c>
    </row>
    <row r="47">
      <c r="H47" s="6" t="inlineStr">
        <is>
          <t>BBY</t>
        </is>
      </c>
      <c r="I47" s="61" t="n">
        <v>0.00447243</v>
      </c>
      <c r="J47" s="6" t="inlineStr">
        <is>
          <t>BEST BUY</t>
        </is>
      </c>
      <c r="K47" s="6" t="inlineStr">
        <is>
          <t>Consumer Discretionary</t>
        </is>
      </c>
      <c r="L47" s="6" t="inlineStr"/>
      <c r="M47" s="7">
        <f>IF(H47="","",IFERROR(VLOOKUP(K47,$P$5:$Q$15,2,FALSE),"현금·선물"))</f>
        <v/>
      </c>
    </row>
    <row r="48">
      <c r="H48" s="6" t="inlineStr">
        <is>
          <t>EWBC</t>
        </is>
      </c>
      <c r="I48" s="61" t="n">
        <v>0.004408909999999999</v>
      </c>
      <c r="J48" s="6" t="inlineStr">
        <is>
          <t>EAST WEST BANCORP</t>
        </is>
      </c>
      <c r="K48" s="6" t="inlineStr">
        <is>
          <t>Financials</t>
        </is>
      </c>
      <c r="L48" s="6" t="inlineStr"/>
      <c r="M48" s="7">
        <f>IF(H48="","",IFERROR(VLOOKUP(K48,$P$5:$Q$15,2,FALSE),"현금·선물"))</f>
        <v/>
      </c>
    </row>
    <row r="49">
      <c r="H49" s="6" t="inlineStr">
        <is>
          <t>GIS</t>
        </is>
      </c>
      <c r="I49" s="61" t="n">
        <v>0.004358310000000001</v>
      </c>
      <c r="J49" s="6" t="inlineStr">
        <is>
          <t>GENERAL MILLS INC</t>
        </is>
      </c>
      <c r="K49" s="6" t="inlineStr">
        <is>
          <t>Consumer Staples</t>
        </is>
      </c>
      <c r="L49" s="6" t="inlineStr"/>
      <c r="M49" s="7">
        <f>IF(H49="","",IFERROR(VLOOKUP(K49,$P$5:$Q$15,2,FALSE),"현금·선물"))</f>
        <v/>
      </c>
    </row>
    <row r="50">
      <c r="H50" s="6" t="inlineStr">
        <is>
          <t>APA</t>
        </is>
      </c>
      <c r="I50" s="61" t="n">
        <v>0.003909230000000001</v>
      </c>
      <c r="J50" s="6" t="inlineStr">
        <is>
          <t>APA</t>
        </is>
      </c>
      <c r="K50" s="6" t="inlineStr">
        <is>
          <t>Energy</t>
        </is>
      </c>
      <c r="L50" s="6" t="inlineStr"/>
      <c r="M50" s="7">
        <f>IF(H50="","",IFERROR(VLOOKUP(K50,$P$5:$Q$15,2,FALSE),"현금·선물"))</f>
        <v/>
      </c>
    </row>
    <row r="51">
      <c r="H51" s="6" t="inlineStr">
        <is>
          <t>WSO</t>
        </is>
      </c>
      <c r="I51" s="61" t="n">
        <v>0.00275943</v>
      </c>
      <c r="J51" s="6" t="inlineStr">
        <is>
          <t>WATSCO</t>
        </is>
      </c>
      <c r="K51" s="6" t="inlineStr">
        <is>
          <t>Industrials</t>
        </is>
      </c>
      <c r="L51" s="6" t="inlineStr"/>
      <c r="M51" s="7">
        <f>IF(H51="","",IFERROR(VLOOKUP(K51,$P$5:$Q$15,2,FALSE),"현금·선물"))</f>
        <v/>
      </c>
    </row>
    <row r="52">
      <c r="H52" s="6" t="inlineStr">
        <is>
          <t>FNF</t>
        </is>
      </c>
      <c r="I52" s="61" t="n">
        <v>0.00256199</v>
      </c>
      <c r="J52" s="6" t="inlineStr">
        <is>
          <t>FIDELITY NATIONAL FINANCIAL INC</t>
        </is>
      </c>
      <c r="K52" s="6" t="inlineStr">
        <is>
          <t>Financials</t>
        </is>
      </c>
      <c r="L52" s="6" t="inlineStr"/>
      <c r="M52" s="7">
        <f>IF(H52="","",IFERROR(VLOOKUP(K52,$P$5:$Q$15,2,FALSE),"현금·선물"))</f>
        <v/>
      </c>
    </row>
    <row r="53">
      <c r="H53" s="6" t="inlineStr">
        <is>
          <t>AFG</t>
        </is>
      </c>
      <c r="I53" s="61" t="n">
        <v>0.00244807</v>
      </c>
      <c r="J53" s="6" t="inlineStr">
        <is>
          <t>AMERICAN FINANCIAL GROUP</t>
        </is>
      </c>
      <c r="K53" s="6" t="inlineStr">
        <is>
          <t>Financials</t>
        </is>
      </c>
      <c r="L53" s="6" t="inlineStr"/>
      <c r="M53" s="7">
        <f>IF(H53="","",IFERROR(VLOOKUP(K53,$P$5:$Q$15,2,FALSE),"현금·선물"))</f>
        <v/>
      </c>
    </row>
    <row r="54">
      <c r="H54" s="6" t="inlineStr">
        <is>
          <t>BAH</t>
        </is>
      </c>
      <c r="I54" s="61" t="n">
        <v>0.00217929</v>
      </c>
      <c r="J54" s="6" t="inlineStr">
        <is>
          <t>BOOZ ALLEN HAMILTON HOLDING CLASS</t>
        </is>
      </c>
      <c r="K54" s="6" t="inlineStr">
        <is>
          <t>Industrials</t>
        </is>
      </c>
      <c r="L54" s="6" t="inlineStr"/>
      <c r="M54" s="7">
        <f>IF(H54="","",IFERROR(VLOOKUP(K54,$P$5:$Q$15,2,FALSE),"현금·선물"))</f>
        <v/>
      </c>
    </row>
    <row r="55">
      <c r="H55" s="6" t="inlineStr">
        <is>
          <t>ORI</t>
        </is>
      </c>
      <c r="I55" s="61" t="n">
        <v>0.00214108</v>
      </c>
      <c r="J55" s="6" t="inlineStr">
        <is>
          <t>OLD REPUBLIC INTERNATIONAL</t>
        </is>
      </c>
      <c r="K55" s="6" t="inlineStr">
        <is>
          <t>Financials</t>
        </is>
      </c>
      <c r="L55" s="6" t="inlineStr"/>
      <c r="M55" s="7">
        <f>IF(H55="","",IFERROR(VLOOKUP(K55,$P$5:$Q$15,2,FALSE),"현금·선물"))</f>
        <v/>
      </c>
    </row>
    <row r="56">
      <c r="H56" s="6" t="inlineStr">
        <is>
          <t>COLB</t>
        </is>
      </c>
      <c r="I56" s="61" t="n">
        <v>0.00208978</v>
      </c>
      <c r="J56" s="6" t="inlineStr">
        <is>
          <t>COLUMBIA BANKING SYSTEM INC</t>
        </is>
      </c>
      <c r="K56" s="6" t="inlineStr">
        <is>
          <t>Financials</t>
        </is>
      </c>
      <c r="L56" s="6" t="inlineStr"/>
      <c r="M56" s="7">
        <f>IF(H56="","",IFERROR(VLOOKUP(K56,$P$5:$Q$15,2,FALSE),"현금·선물"))</f>
        <v/>
      </c>
    </row>
    <row r="57">
      <c r="H57" s="6" t="inlineStr">
        <is>
          <t>ALV</t>
        </is>
      </c>
      <c r="I57" s="61" t="n">
        <v>0.00193713</v>
      </c>
      <c r="J57" s="6" t="inlineStr">
        <is>
          <t>AUTOLIV</t>
        </is>
      </c>
      <c r="K57" s="6" t="inlineStr">
        <is>
          <t>Consumer Discretionary</t>
        </is>
      </c>
      <c r="L57" s="6" t="inlineStr"/>
      <c r="M57" s="7">
        <f>IF(H57="","",IFERROR(VLOOKUP(K57,$P$5:$Q$15,2,FALSE),"현금·선물"))</f>
        <v/>
      </c>
    </row>
    <row r="58">
      <c r="H58" s="6" t="inlineStr">
        <is>
          <t>M</t>
        </is>
      </c>
      <c r="I58" s="61" t="n">
        <v>0.00153933</v>
      </c>
      <c r="J58" s="6" t="inlineStr">
        <is>
          <t>MACYS INC</t>
        </is>
      </c>
      <c r="K58" s="6" t="inlineStr">
        <is>
          <t>Consumer Discretionary</t>
        </is>
      </c>
      <c r="L58" s="6" t="inlineStr"/>
      <c r="M58" s="7">
        <f>IF(H58="","",IFERROR(VLOOKUP(K58,$P$5:$Q$15,2,FALSE),"현금·선물"))</f>
        <v/>
      </c>
    </row>
    <row r="59">
      <c r="H59" s="6" t="inlineStr">
        <is>
          <t>MSM</t>
        </is>
      </c>
      <c r="I59" s="61" t="n">
        <v>0.00151286</v>
      </c>
      <c r="J59" s="6" t="inlineStr">
        <is>
          <t>MSC INDUSTRIAL CLASS A</t>
        </is>
      </c>
      <c r="K59" s="6" t="inlineStr">
        <is>
          <t>Industrials</t>
        </is>
      </c>
      <c r="L59" s="6" t="inlineStr"/>
      <c r="M59" s="7">
        <f>IF(H59="","",IFERROR(VLOOKUP(K59,$P$5:$Q$15,2,FALSE),"현금·선물"))</f>
        <v/>
      </c>
    </row>
    <row r="60">
      <c r="H60" s="6" t="inlineStr">
        <is>
          <t>ERIE</t>
        </is>
      </c>
      <c r="I60" s="61" t="n">
        <v>0.00147593</v>
      </c>
      <c r="J60" s="6" t="inlineStr">
        <is>
          <t>ERIE INDEMNITY CLASS A</t>
        </is>
      </c>
      <c r="K60" s="6" t="inlineStr">
        <is>
          <t>Financials</t>
        </is>
      </c>
      <c r="L60" s="6" t="inlineStr"/>
      <c r="M60" s="7">
        <f>IF(H60="","",IFERROR(VLOOKUP(K60,$P$5:$Q$15,2,FALSE),"현금·선물"))</f>
        <v/>
      </c>
    </row>
    <row r="61">
      <c r="H61" s="6" t="inlineStr">
        <is>
          <t>MUR</t>
        </is>
      </c>
      <c r="I61" s="61" t="n">
        <v>0.00129838</v>
      </c>
      <c r="J61" s="6" t="inlineStr">
        <is>
          <t>MURPHY OIL CORP</t>
        </is>
      </c>
      <c r="K61" s="6" t="inlineStr">
        <is>
          <t>Energy</t>
        </is>
      </c>
      <c r="L61" s="6" t="inlineStr"/>
      <c r="M61" s="7">
        <f>IF(H61="","",IFERROR(VLOOKUP(K61,$P$5:$Q$15,2,FALSE),"현금·선물"))</f>
        <v/>
      </c>
    </row>
    <row r="62">
      <c r="H62" s="6" t="inlineStr">
        <is>
          <t>MTN</t>
        </is>
      </c>
      <c r="I62" s="61" t="n">
        <v>0.00127291</v>
      </c>
      <c r="J62" s="6" t="inlineStr">
        <is>
          <t>VAIL RESORTS</t>
        </is>
      </c>
      <c r="K62" s="6" t="inlineStr">
        <is>
          <t>Consumer Discretionary</t>
        </is>
      </c>
      <c r="L62" s="6" t="inlineStr"/>
      <c r="M62" s="7">
        <f>IF(H62="","",IFERROR(VLOOKUP(K62,$P$5:$Q$15,2,FALSE),"현금·선물"))</f>
        <v/>
      </c>
    </row>
    <row r="63">
      <c r="H63" s="6" t="inlineStr">
        <is>
          <t>OZK</t>
        </is>
      </c>
      <c r="I63" s="61" t="n">
        <v>0.00120809</v>
      </c>
      <c r="J63" s="6" t="inlineStr">
        <is>
          <t>BANK OZK</t>
        </is>
      </c>
      <c r="K63" s="6" t="inlineStr">
        <is>
          <t>Financials</t>
        </is>
      </c>
      <c r="L63" s="6" t="inlineStr"/>
      <c r="M63" s="7">
        <f>IF(H63="","",IFERROR(VLOOKUP(K63,$P$5:$Q$15,2,FALSE),"현금·선물"))</f>
        <v/>
      </c>
    </row>
    <row r="64">
      <c r="H64" s="6" t="inlineStr">
        <is>
          <t>NXST</t>
        </is>
      </c>
      <c r="I64" s="61" t="n">
        <v>0.00118088</v>
      </c>
      <c r="J64" s="6" t="inlineStr">
        <is>
          <t>NEXSTAR MEDIA GROUP INC</t>
        </is>
      </c>
      <c r="K64" s="6" t="inlineStr">
        <is>
          <t>Communication Services</t>
        </is>
      </c>
      <c r="L64" s="6" t="inlineStr"/>
      <c r="M64" s="7">
        <f>IF(H64="","",IFERROR(VLOOKUP(K64,$P$5:$Q$15,2,FALSE),"현금·선물"))</f>
        <v/>
      </c>
    </row>
    <row r="65">
      <c r="H65" s="6" t="inlineStr">
        <is>
          <t>MC</t>
        </is>
      </c>
      <c r="I65" s="61" t="n">
        <v>0.00108472</v>
      </c>
      <c r="J65" s="6" t="inlineStr">
        <is>
          <t>MOELIS CLASS A</t>
        </is>
      </c>
      <c r="K65" s="6" t="inlineStr">
        <is>
          <t>Financials</t>
        </is>
      </c>
      <c r="L65" s="6" t="inlineStr"/>
      <c r="M65" s="7">
        <f>IF(H65="","",IFERROR(VLOOKUP(K65,$P$5:$Q$15,2,FALSE),"현금·선물"))</f>
        <v/>
      </c>
    </row>
    <row r="66">
      <c r="H66" s="6" t="inlineStr">
        <is>
          <t>FHI</t>
        </is>
      </c>
      <c r="I66" s="61" t="n">
        <v>0.00102751</v>
      </c>
      <c r="J66" s="6" t="inlineStr">
        <is>
          <t>FEDERATED HERMES INC CLASS B</t>
        </is>
      </c>
      <c r="K66" s="6" t="inlineStr">
        <is>
          <t>Financials</t>
        </is>
      </c>
      <c r="L66" s="6" t="inlineStr"/>
      <c r="M66" s="7">
        <f>IF(H66="","",IFERROR(VLOOKUP(K66,$P$5:$Q$15,2,FALSE),"현금·선물"))</f>
        <v/>
      </c>
    </row>
    <row r="67">
      <c r="H67" s="6" t="inlineStr">
        <is>
          <t>RHI</t>
        </is>
      </c>
      <c r="I67" s="61" t="n">
        <v>0.0009775000000000001</v>
      </c>
      <c r="J67" s="6" t="inlineStr">
        <is>
          <t>ROBERT HALF INC</t>
        </is>
      </c>
      <c r="K67" s="6" t="inlineStr">
        <is>
          <t>Industrials</t>
        </is>
      </c>
      <c r="L67" s="6" t="inlineStr"/>
      <c r="M67" s="7">
        <f>IF(H67="","",IFERROR(VLOOKUP(K67,$P$5:$Q$15,2,FALSE),"현금·선물"))</f>
        <v/>
      </c>
    </row>
    <row r="68">
      <c r="H68" s="6" t="inlineStr">
        <is>
          <t>KFY</t>
        </is>
      </c>
      <c r="I68" s="61" t="n">
        <v>0.00095537</v>
      </c>
      <c r="J68" s="6" t="inlineStr">
        <is>
          <t>KORN FERRY</t>
        </is>
      </c>
      <c r="K68" s="6" t="inlineStr">
        <is>
          <t>Industrials</t>
        </is>
      </c>
      <c r="L68" s="6" t="inlineStr"/>
      <c r="M68" s="7">
        <f>IF(H68="","",IFERROR(VLOOKUP(K68,$P$5:$Q$15,2,FALSE),"현금·선물"))</f>
        <v/>
      </c>
    </row>
    <row r="69">
      <c r="H69" s="6" t="inlineStr">
        <is>
          <t>CVBF</t>
        </is>
      </c>
      <c r="I69" s="61" t="n">
        <v>0.0009461999999999999</v>
      </c>
      <c r="J69" s="6" t="inlineStr">
        <is>
          <t>CVB FINANCIAL CORP</t>
        </is>
      </c>
      <c r="K69" s="6" t="inlineStr">
        <is>
          <t>Financials</t>
        </is>
      </c>
      <c r="L69" s="6" t="inlineStr"/>
      <c r="M69" s="7">
        <f>IF(H69="","",IFERROR(VLOOKUP(K69,$P$5:$Q$15,2,FALSE),"현금·선물"))</f>
        <v/>
      </c>
    </row>
    <row r="70">
      <c r="H70" s="6" t="inlineStr">
        <is>
          <t>PAG</t>
        </is>
      </c>
      <c r="I70" s="61" t="n">
        <v>0.00092405</v>
      </c>
      <c r="J70" s="6" t="inlineStr">
        <is>
          <t>PENSKE AUTOMOTIVE GROUP VOTING INC</t>
        </is>
      </c>
      <c r="K70" s="6" t="inlineStr">
        <is>
          <t>Consumer Discretionary</t>
        </is>
      </c>
      <c r="L70" s="6" t="inlineStr"/>
      <c r="M70" s="7">
        <f>IF(H70="","",IFERROR(VLOOKUP(K70,$P$5:$Q$15,2,FALSE),"현금·선물"))</f>
        <v/>
      </c>
    </row>
    <row r="71">
      <c r="H71" s="6" t="inlineStr">
        <is>
          <t>GVMXX</t>
        </is>
      </c>
      <c r="I71" s="61" t="n">
        <v>0.00091473</v>
      </c>
      <c r="J71" s="6" t="inlineStr">
        <is>
          <t>SSC GOVERNMENT MM GVMXX</t>
        </is>
      </c>
      <c r="K71" s="6" t="inlineStr"/>
      <c r="L71" s="6" t="inlineStr"/>
      <c r="M71" s="7">
        <f>IF(H71="","",IFERROR(VLOOKUP(K71,$P$5:$Q$15,2,FALSE),"현금·선물"))</f>
        <v/>
      </c>
    </row>
    <row r="72">
      <c r="H72" s="6" t="inlineStr">
        <is>
          <t>CWEN</t>
        </is>
      </c>
      <c r="I72" s="61" t="n">
        <v>0.00090782</v>
      </c>
      <c r="J72" s="6" t="inlineStr">
        <is>
          <t>CLEARWAY ENERGY INC CLASS C</t>
        </is>
      </c>
      <c r="K72" s="6" t="inlineStr">
        <is>
          <t>Utilities</t>
        </is>
      </c>
      <c r="L72" s="6" t="inlineStr"/>
      <c r="M72" s="7">
        <f>IF(H72="","",IFERROR(VLOOKUP(K72,$P$5:$Q$15,2,FALSE),"현금·선물"))</f>
        <v/>
      </c>
    </row>
    <row r="73">
      <c r="H73" s="6" t="inlineStr">
        <is>
          <t>APAM</t>
        </is>
      </c>
      <c r="I73" s="61" t="n">
        <v>0.0006598099999999999</v>
      </c>
      <c r="J73" s="6" t="inlineStr">
        <is>
          <t>ARTISAN PARTNERS ASSET MANAGEMENT</t>
        </is>
      </c>
      <c r="K73" s="6" t="inlineStr">
        <is>
          <t>Financials</t>
        </is>
      </c>
      <c r="L73" s="6" t="inlineStr"/>
      <c r="M73" s="7">
        <f>IF(H73="","",IFERROR(VLOOKUP(K73,$P$5:$Q$15,2,FALSE),"현금·선물"))</f>
        <v/>
      </c>
    </row>
    <row r="74">
      <c r="H74" s="6" t="inlineStr">
        <is>
          <t>BANR</t>
        </is>
      </c>
      <c r="I74" s="61" t="n">
        <v>0.00058686</v>
      </c>
      <c r="J74" s="6" t="inlineStr">
        <is>
          <t>BANNER CORP</t>
        </is>
      </c>
      <c r="K74" s="6" t="inlineStr">
        <is>
          <t>Financials</t>
        </is>
      </c>
      <c r="L74" s="6" t="inlineStr"/>
      <c r="M74" s="7">
        <f>IF(H74="","",IFERROR(VLOOKUP(K74,$P$5:$Q$15,2,FALSE),"현금·선물"))</f>
        <v/>
      </c>
    </row>
    <row r="75">
      <c r="H75" s="6" t="inlineStr">
        <is>
          <t>OFG</t>
        </is>
      </c>
      <c r="I75" s="61" t="n">
        <v>0.00055301</v>
      </c>
      <c r="J75" s="6" t="inlineStr">
        <is>
          <t>OFG BANCORP</t>
        </is>
      </c>
      <c r="K75" s="6" t="inlineStr">
        <is>
          <t>Financials</t>
        </is>
      </c>
      <c r="L75" s="6" t="inlineStr"/>
      <c r="M75" s="7">
        <f>IF(H75="","",IFERROR(VLOOKUP(K75,$P$5:$Q$15,2,FALSE),"현금·선물"))</f>
        <v/>
      </c>
    </row>
    <row r="76">
      <c r="H76" s="6" t="inlineStr">
        <is>
          <t>CNS</t>
        </is>
      </c>
      <c r="I76" s="61" t="n">
        <v>0.00053387</v>
      </c>
      <c r="J76" s="6" t="inlineStr">
        <is>
          <t>COHEN &amp; STEERS INC</t>
        </is>
      </c>
      <c r="K76" s="6" t="inlineStr">
        <is>
          <t>Financials</t>
        </is>
      </c>
      <c r="L76" s="6" t="inlineStr"/>
      <c r="M76" s="7">
        <f>IF(H76="","",IFERROR(VLOOKUP(K76,$P$5:$Q$15,2,FALSE),"현금·선물"))</f>
        <v/>
      </c>
    </row>
    <row r="77">
      <c r="H77" s="6" t="inlineStr">
        <is>
          <t>IPAR</t>
        </is>
      </c>
      <c r="I77" s="61" t="n">
        <v>0.00052716</v>
      </c>
      <c r="J77" s="6" t="inlineStr">
        <is>
          <t>INTERPARFUMS INC</t>
        </is>
      </c>
      <c r="K77" s="6" t="inlineStr">
        <is>
          <t>Consumer Staples</t>
        </is>
      </c>
      <c r="L77" s="6" t="inlineStr"/>
      <c r="M77" s="7">
        <f>IF(H77="","",IFERROR(VLOOKUP(K77,$P$5:$Q$15,2,FALSE),"현금·선물"))</f>
        <v/>
      </c>
    </row>
    <row r="78">
      <c r="H78" s="6" t="inlineStr">
        <is>
          <t>CHCO</t>
        </is>
      </c>
      <c r="I78" s="61" t="n">
        <v>0.0005129000000000001</v>
      </c>
      <c r="J78" s="6" t="inlineStr">
        <is>
          <t>CITY HOLDING</t>
        </is>
      </c>
      <c r="K78" s="6" t="inlineStr">
        <is>
          <t>Financials</t>
        </is>
      </c>
      <c r="L78" s="6" t="inlineStr"/>
      <c r="M78" s="7">
        <f>IF(H78="","",IFERROR(VLOOKUP(K78,$P$5:$Q$15,2,FALSE),"현금·선물"))</f>
        <v/>
      </c>
    </row>
    <row r="79">
      <c r="H79" s="6" t="inlineStr">
        <is>
          <t>MZTI</t>
        </is>
      </c>
      <c r="I79" s="61" t="n">
        <v>0.00050094</v>
      </c>
      <c r="J79" s="6" t="inlineStr">
        <is>
          <t>MARZETTI</t>
        </is>
      </c>
      <c r="K79" s="6" t="inlineStr">
        <is>
          <t>Consumer Staples</t>
        </is>
      </c>
      <c r="L79" s="6" t="inlineStr"/>
      <c r="M79" s="7">
        <f>IF(H79="","",IFERROR(VLOOKUP(K79,$P$5:$Q$15,2,FALSE),"현금·선물"))</f>
        <v/>
      </c>
    </row>
    <row r="80">
      <c r="H80" s="6" t="inlineStr">
        <is>
          <t>AGM</t>
        </is>
      </c>
      <c r="I80" s="61" t="n">
        <v>0.00050039</v>
      </c>
      <c r="J80" s="6" t="inlineStr">
        <is>
          <t>FEDERAL AGRICULTURAL MORTGAGE NON</t>
        </is>
      </c>
      <c r="K80" s="6" t="inlineStr">
        <is>
          <t>Financials</t>
        </is>
      </c>
      <c r="L80" s="6" t="inlineStr"/>
      <c r="M80" s="7">
        <f>IF(H80="","",IFERROR(VLOOKUP(K80,$P$5:$Q$15,2,FALSE),"현금·선물"))</f>
        <v/>
      </c>
    </row>
    <row r="81">
      <c r="H81" s="6" t="inlineStr">
        <is>
          <t>WU</t>
        </is>
      </c>
      <c r="I81" s="61" t="n">
        <v>0.00048538</v>
      </c>
      <c r="J81" s="6" t="inlineStr">
        <is>
          <t>WESTERN UNION</t>
        </is>
      </c>
      <c r="K81" s="6" t="inlineStr">
        <is>
          <t>Financials</t>
        </is>
      </c>
      <c r="L81" s="6" t="inlineStr"/>
      <c r="M81" s="7">
        <f>IF(H81="","",IFERROR(VLOOKUP(K81,$P$5:$Q$15,2,FALSE),"현금·선물"))</f>
        <v/>
      </c>
    </row>
    <row r="82">
      <c r="H82" s="6" t="inlineStr">
        <is>
          <t>GABC</t>
        </is>
      </c>
      <c r="I82" s="61" t="n">
        <v>0.00047423</v>
      </c>
      <c r="J82" s="6" t="inlineStr">
        <is>
          <t>GERMAN AMERICAN BANCORP INC</t>
        </is>
      </c>
      <c r="K82" s="6" t="inlineStr">
        <is>
          <t>Financials</t>
        </is>
      </c>
      <c r="L82" s="6" t="inlineStr"/>
      <c r="M82" s="7">
        <f>IF(H82="","",IFERROR(VLOOKUP(K82,$P$5:$Q$15,2,FALSE),"현금·선물"))</f>
        <v/>
      </c>
    </row>
    <row r="83">
      <c r="H83" s="6" t="inlineStr">
        <is>
          <t>NSP</t>
        </is>
      </c>
      <c r="I83" s="61" t="n">
        <v>0.00044892</v>
      </c>
      <c r="J83" s="6" t="inlineStr">
        <is>
          <t>INSPERITY</t>
        </is>
      </c>
      <c r="K83" s="6" t="inlineStr">
        <is>
          <t>Industrials</t>
        </is>
      </c>
      <c r="L83" s="6" t="inlineStr"/>
      <c r="M83" s="7">
        <f>IF(H83="","",IFERROR(VLOOKUP(K83,$P$5:$Q$15,2,FALSE),"현금·선물"))</f>
        <v/>
      </c>
    </row>
    <row r="84">
      <c r="H84" s="6" t="inlineStr">
        <is>
          <t>STBA</t>
        </is>
      </c>
      <c r="I84" s="61" t="n">
        <v>0.00044695</v>
      </c>
      <c r="J84" s="6" t="inlineStr">
        <is>
          <t>S AND T BANCORP INC</t>
        </is>
      </c>
      <c r="K84" s="6" t="inlineStr">
        <is>
          <t>Financials</t>
        </is>
      </c>
      <c r="L84" s="6" t="inlineStr"/>
      <c r="M84" s="7">
        <f>IF(H84="","",IFERROR(VLOOKUP(K84,$P$5:$Q$15,2,FALSE),"현금·선물"))</f>
        <v/>
      </c>
    </row>
    <row r="85">
      <c r="H85" s="6" t="inlineStr">
        <is>
          <t>NBHC</t>
        </is>
      </c>
      <c r="I85" s="61" t="n">
        <v>0.0004463</v>
      </c>
      <c r="J85" s="6" t="inlineStr">
        <is>
          <t>NATIONAL BANK HOLDINGS CORP CLASS</t>
        </is>
      </c>
      <c r="K85" s="6" t="inlineStr">
        <is>
          <t>Financials</t>
        </is>
      </c>
      <c r="L85" s="6" t="inlineStr"/>
      <c r="M85" s="7">
        <f>IF(H85="","",IFERROR(VLOOKUP(K85,$P$5:$Q$15,2,FALSE),"현금·선물"))</f>
        <v/>
      </c>
    </row>
    <row r="86">
      <c r="H86" s="6" t="inlineStr">
        <is>
          <t>SRCE</t>
        </is>
      </c>
      <c r="I86" s="61" t="n">
        <v>0.00039593</v>
      </c>
      <c r="J86" s="6" t="inlineStr">
        <is>
          <t>1ST SOURCE</t>
        </is>
      </c>
      <c r="K86" s="6" t="inlineStr">
        <is>
          <t>Financials</t>
        </is>
      </c>
      <c r="L86" s="6" t="inlineStr"/>
      <c r="M86" s="7">
        <f>IF(H86="","",IFERROR(VLOOKUP(K86,$P$5:$Q$15,2,FALSE),"현금·선물"))</f>
        <v/>
      </c>
    </row>
    <row r="87">
      <c r="H87" s="6" t="inlineStr">
        <is>
          <t>LKFN</t>
        </is>
      </c>
      <c r="I87" s="61" t="n">
        <v>0.0003734500000000001</v>
      </c>
      <c r="J87" s="6" t="inlineStr">
        <is>
          <t>LAKELAND FINANCIAL CORP</t>
        </is>
      </c>
      <c r="K87" s="6" t="inlineStr">
        <is>
          <t>Financials</t>
        </is>
      </c>
      <c r="L87" s="6" t="inlineStr"/>
      <c r="M87" s="7">
        <f>IF(H87="","",IFERROR(VLOOKUP(K87,$P$5:$Q$15,2,FALSE),"현금·선물"))</f>
        <v/>
      </c>
    </row>
    <row r="88">
      <c r="H88" s="6" t="inlineStr">
        <is>
          <t>BKE</t>
        </is>
      </c>
      <c r="I88" s="61" t="n">
        <v>0.00033876</v>
      </c>
      <c r="J88" s="6" t="inlineStr">
        <is>
          <t>BUCKLE</t>
        </is>
      </c>
      <c r="K88" s="6" t="inlineStr">
        <is>
          <t>Consumer Discretionary</t>
        </is>
      </c>
      <c r="L88" s="6" t="inlineStr"/>
      <c r="M88" s="7">
        <f>IF(H88="","",IFERROR(VLOOKUP(K88,$P$5:$Q$15,2,FALSE),"현금·선물"))</f>
        <v/>
      </c>
    </row>
    <row r="89">
      <c r="H89" s="6" t="inlineStr">
        <is>
          <t>FLO</t>
        </is>
      </c>
      <c r="I89" s="61" t="n">
        <v>0.00030432</v>
      </c>
      <c r="J89" s="6" t="inlineStr">
        <is>
          <t>FLOWERS FOODS INC</t>
        </is>
      </c>
      <c r="K89" s="6" t="inlineStr">
        <is>
          <t>Consumer Staples</t>
        </is>
      </c>
      <c r="L89" s="6" t="inlineStr"/>
      <c r="M89" s="7">
        <f>IF(H89="","",IFERROR(VLOOKUP(K89,$P$5:$Q$15,2,FALSE),"현금·선물"))</f>
        <v/>
      </c>
    </row>
    <row r="90">
      <c r="H90" s="6" t="inlineStr">
        <is>
          <t>PFBC</t>
        </is>
      </c>
      <c r="I90" s="61" t="n">
        <v>0.00029856</v>
      </c>
      <c r="J90" s="6" t="inlineStr">
        <is>
          <t>PREFERRED BANK</t>
        </is>
      </c>
      <c r="K90" s="6" t="inlineStr">
        <is>
          <t>Financials</t>
        </is>
      </c>
      <c r="L90" s="6" t="inlineStr"/>
      <c r="M90" s="7">
        <f>IF(H90="","",IFERROR(VLOOKUP(K90,$P$5:$Q$15,2,FALSE),"현금·선물"))</f>
        <v/>
      </c>
    </row>
    <row r="91">
      <c r="H91" s="6" t="inlineStr">
        <is>
          <t>WEN</t>
        </is>
      </c>
      <c r="I91" s="61" t="n">
        <v>0.00025899</v>
      </c>
      <c r="J91" s="6" t="inlineStr">
        <is>
          <t>WENDYS</t>
        </is>
      </c>
      <c r="K91" s="6" t="inlineStr">
        <is>
          <t>Consumer Discretionary</t>
        </is>
      </c>
      <c r="L91" s="6" t="inlineStr"/>
      <c r="M91" s="7">
        <f>IF(H91="","",IFERROR(VLOOKUP(K91,$P$5:$Q$15,2,FALSE),"현금·선물"))</f>
        <v/>
      </c>
    </row>
    <row r="92">
      <c r="H92" s="6" t="inlineStr">
        <is>
          <t>CNA</t>
        </is>
      </c>
      <c r="I92" s="61" t="n">
        <v>0.00025696</v>
      </c>
      <c r="J92" s="6" t="inlineStr">
        <is>
          <t>CNA FINANCIAL CORP</t>
        </is>
      </c>
      <c r="K92" s="6" t="inlineStr">
        <is>
          <t>Financials</t>
        </is>
      </c>
      <c r="L92" s="6" t="inlineStr"/>
      <c r="M92" s="7">
        <f>IF(H92="","",IFERROR(VLOOKUP(K92,$P$5:$Q$15,2,FALSE),"현금·선물"))</f>
        <v/>
      </c>
    </row>
    <row r="93">
      <c r="H93" s="6" t="inlineStr">
        <is>
          <t>CPF</t>
        </is>
      </c>
      <c r="I93" s="61" t="n">
        <v>0.00023903</v>
      </c>
      <c r="J93" s="6" t="inlineStr">
        <is>
          <t>CENTRAL PACIFIC FINANCIAL CORP</t>
        </is>
      </c>
      <c r="K93" s="6" t="inlineStr">
        <is>
          <t>Financials</t>
        </is>
      </c>
      <c r="L93" s="6" t="inlineStr"/>
      <c r="M93" s="7">
        <f>IF(H93="","",IFERROR(VLOOKUP(K93,$P$5:$Q$15,2,FALSE),"현금·선물"))</f>
        <v/>
      </c>
    </row>
    <row r="94">
      <c r="H94" s="6" t="inlineStr">
        <is>
          <t>HAFC</t>
        </is>
      </c>
      <c r="I94" s="61" t="n">
        <v>0.0002375</v>
      </c>
      <c r="J94" s="6" t="inlineStr">
        <is>
          <t>HANMI FINANCIAL CORP</t>
        </is>
      </c>
      <c r="K94" s="6" t="inlineStr">
        <is>
          <t>Financials</t>
        </is>
      </c>
      <c r="L94" s="6" t="inlineStr"/>
      <c r="M94" s="7">
        <f>IF(H94="","",IFERROR(VLOOKUP(K94,$P$5:$Q$15,2,FALSE),"현금·선물"))</f>
        <v/>
      </c>
    </row>
    <row r="95">
      <c r="H95" s="6" t="inlineStr">
        <is>
          <t>ORRF</t>
        </is>
      </c>
      <c r="I95" s="61" t="n">
        <v>0.00021093</v>
      </c>
      <c r="J95" s="6" t="inlineStr">
        <is>
          <t>ORRSTOWN FINANCIAL SERVICES INC</t>
        </is>
      </c>
      <c r="K95" s="6" t="inlineStr">
        <is>
          <t>Financials</t>
        </is>
      </c>
      <c r="L95" s="6" t="inlineStr"/>
      <c r="M95" s="7">
        <f>IF(H95="","",IFERROR(VLOOKUP(K95,$P$5:$Q$15,2,FALSE),"현금·선물"))</f>
        <v/>
      </c>
    </row>
    <row r="96">
      <c r="H96" s="6" t="inlineStr">
        <is>
          <t>VRTS</t>
        </is>
      </c>
      <c r="I96" s="61" t="n">
        <v>0.00020989</v>
      </c>
      <c r="J96" s="6" t="inlineStr">
        <is>
          <t>VIRTUS INVESTMENT PARTNERS</t>
        </is>
      </c>
      <c r="K96" s="6" t="inlineStr">
        <is>
          <t>Financials</t>
        </is>
      </c>
      <c r="L96" s="6" t="inlineStr"/>
      <c r="M96" s="7">
        <f>IF(H96="","",IFERROR(VLOOKUP(K96,$P$5:$Q$15,2,FALSE),"현금·선물"))</f>
        <v/>
      </c>
    </row>
    <row r="97">
      <c r="H97" s="6" t="inlineStr">
        <is>
          <t>IBCP</t>
        </is>
      </c>
      <c r="I97" s="61" t="n">
        <v>0.00020419</v>
      </c>
      <c r="J97" s="6" t="inlineStr">
        <is>
          <t>INDEPENDENT BANK CORP</t>
        </is>
      </c>
      <c r="K97" s="6" t="inlineStr">
        <is>
          <t>Financials</t>
        </is>
      </c>
      <c r="L97" s="6" t="inlineStr"/>
      <c r="M97" s="7">
        <f>IF(H97="","",IFERROR(VLOOKUP(K97,$P$5:$Q$15,2,FALSE),"현금·선물"))</f>
        <v/>
      </c>
    </row>
    <row r="98">
      <c r="H98" s="6" t="inlineStr">
        <is>
          <t>THFF</t>
        </is>
      </c>
      <c r="I98" s="61" t="n">
        <v>0.00020392</v>
      </c>
      <c r="J98" s="6" t="inlineStr">
        <is>
          <t>FIRST FINANCIAL CORPORATION CORP</t>
        </is>
      </c>
      <c r="K98" s="6" t="inlineStr">
        <is>
          <t>Financials</t>
        </is>
      </c>
      <c r="L98" s="6" t="inlineStr"/>
      <c r="M98" s="7">
        <f>IF(H98="","",IFERROR(VLOOKUP(K98,$P$5:$Q$15,2,FALSE),"현금·선물"))</f>
        <v/>
      </c>
    </row>
    <row r="99">
      <c r="H99" s="6" t="inlineStr">
        <is>
          <t>CCBG</t>
        </is>
      </c>
      <c r="I99" s="61" t="n">
        <v>0.00017257</v>
      </c>
      <c r="J99" s="6" t="inlineStr">
        <is>
          <t>CAPITAL CITY BANK INC</t>
        </is>
      </c>
      <c r="K99" s="6" t="inlineStr">
        <is>
          <t>Financials</t>
        </is>
      </c>
      <c r="L99" s="6" t="inlineStr"/>
      <c r="M99" s="7">
        <f>IF(H99="","",IFERROR(VLOOKUP(K99,$P$5:$Q$15,2,FALSE),"현금·선물"))</f>
        <v/>
      </c>
    </row>
    <row r="100">
      <c r="H100" s="6" t="inlineStr">
        <is>
          <t>USD</t>
        </is>
      </c>
      <c r="I100" s="61" t="n">
        <v>0.00016242</v>
      </c>
      <c r="J100" s="6" t="inlineStr">
        <is>
          <t>US DOLLAR</t>
        </is>
      </c>
      <c r="K100" s="6" t="inlineStr"/>
      <c r="L100" s="6" t="inlineStr"/>
      <c r="M100" s="7">
        <f>IF(H100="","",IFERROR(VLOOKUP(K100,$P$5:$Q$15,2,FALSE),"현금·선물"))</f>
        <v/>
      </c>
    </row>
    <row r="101">
      <c r="H101" s="6" t="inlineStr">
        <is>
          <t>EBF</t>
        </is>
      </c>
      <c r="I101" s="61" t="n">
        <v>0.00013912</v>
      </c>
      <c r="J101" s="6" t="inlineStr">
        <is>
          <t>ENNIS INC</t>
        </is>
      </c>
      <c r="K101" s="6" t="inlineStr">
        <is>
          <t>Industrials</t>
        </is>
      </c>
      <c r="L101" s="6" t="inlineStr"/>
      <c r="M101" s="7">
        <f>IF(H101="","",IFERROR(VLOOKUP(K101,$P$5:$Q$15,2,FALSE),"현금·선물"))</f>
        <v/>
      </c>
    </row>
    <row r="102">
      <c r="H102" s="6" t="inlineStr">
        <is>
          <t>AMSF</t>
        </is>
      </c>
      <c r="I102" s="61" t="n">
        <v>0.00011337</v>
      </c>
      <c r="J102" s="6" t="inlineStr">
        <is>
          <t>AMERISAFE INC</t>
        </is>
      </c>
      <c r="K102" s="6" t="inlineStr">
        <is>
          <t>Financials</t>
        </is>
      </c>
      <c r="L102" s="6" t="inlineStr"/>
      <c r="M102" s="7">
        <f>IF(H102="","",IFERROR(VLOOKUP(K102,$P$5:$Q$15,2,FALSE),"현금·선물"))</f>
        <v/>
      </c>
    </row>
    <row r="103">
      <c r="H103" s="6" t="inlineStr">
        <is>
          <t>ETD</t>
        </is>
      </c>
      <c r="I103" s="61" t="n">
        <v>0.00010918</v>
      </c>
      <c r="J103" s="6" t="inlineStr">
        <is>
          <t>ETHAN ALLEN INTERIORS</t>
        </is>
      </c>
      <c r="K103" s="6" t="inlineStr">
        <is>
          <t>Consumer Discretionary</t>
        </is>
      </c>
      <c r="L103" s="6" t="inlineStr"/>
      <c r="M103" s="7">
        <f>IF(H103="","",IFERROR(VLOOKUP(K103,$P$5:$Q$15,2,FALSE),"현금·선물"))</f>
        <v/>
      </c>
    </row>
    <row r="104">
      <c r="H104" s="6" t="inlineStr">
        <is>
          <t>OXM</t>
        </is>
      </c>
      <c r="I104" s="61" t="n">
        <v>9.104e-05</v>
      </c>
      <c r="J104" s="6" t="inlineStr">
        <is>
          <t>OXFORD INDUSTRIES INC</t>
        </is>
      </c>
      <c r="K104" s="6" t="inlineStr">
        <is>
          <t>Consumer Discretionary</t>
        </is>
      </c>
      <c r="L104" s="6" t="inlineStr"/>
      <c r="M104" s="7">
        <f>IF(H104="","",IFERROR(VLOOKUP(K104,$P$5:$Q$15,2,FALSE),"현금·선물"))</f>
        <v/>
      </c>
    </row>
    <row r="105">
      <c r="H105" s="6" t="inlineStr">
        <is>
          <t>FAZ6</t>
        </is>
      </c>
      <c r="I105" s="61" t="n">
        <v>0</v>
      </c>
      <c r="J105" s="6" t="inlineStr">
        <is>
          <t>S&amp;P MID 400 EMINI DEC 26</t>
        </is>
      </c>
      <c r="K105" s="6" t="inlineStr"/>
      <c r="L105" s="6" t="inlineStr"/>
      <c r="M105" s="7">
        <f>IF(H105="","",IFERROR(VLOOKUP(K105,$P$5:$Q$15,2,FALSE),"현금·선물"))</f>
        <v/>
      </c>
    </row>
    <row r="106">
      <c r="H106" s="6" t="inlineStr">
        <is>
          <t>DMZ6</t>
        </is>
      </c>
      <c r="I106" s="61" t="n">
        <v>0</v>
      </c>
      <c r="J106" s="6" t="inlineStr">
        <is>
          <t>DJIA MINI e-CBOT DEC 26</t>
        </is>
      </c>
      <c r="K106" s="6" t="inlineStr"/>
      <c r="L106" s="6" t="inlineStr"/>
      <c r="M106" s="7">
        <f>IF(H106="","",IFERROR(VLOOKUP(K106,$P$5:$Q$15,2,FALSE),"현금·선물"))</f>
        <v/>
      </c>
    </row>
    <row r="107">
      <c r="H107" s="6" t="n"/>
      <c r="I107" s="61" t="n"/>
      <c r="J107" s="6" t="n"/>
      <c r="K107" s="6" t="n"/>
      <c r="L107" s="6" t="n"/>
      <c r="M107" s="7">
        <f>IF(H107="","",IFERROR(VLOOKUP(K107,$P$5:$Q$15,2,FALSE),"현금·선물"))</f>
        <v/>
      </c>
    </row>
    <row r="108">
      <c r="H108" s="6" t="n"/>
      <c r="I108" s="61" t="n"/>
      <c r="J108" s="6" t="n"/>
      <c r="K108" s="6" t="n"/>
      <c r="L108" s="6" t="n"/>
      <c r="M108" s="7">
        <f>IF(H108="","",IFERROR(VLOOKUP(K108,$P$5:$Q$15,2,FALSE),"현금·선물"))</f>
        <v/>
      </c>
    </row>
    <row r="109">
      <c r="H109" s="6" t="n"/>
      <c r="I109" s="61" t="n"/>
      <c r="J109" s="6" t="n"/>
      <c r="K109" s="6" t="n"/>
      <c r="L109" s="6" t="n"/>
      <c r="M109" s="7">
        <f>IF(H109="","",IFERROR(VLOOKUP(K109,$P$5:$Q$15,2,FALSE),"현금·선물"))</f>
        <v/>
      </c>
    </row>
    <row r="110">
      <c r="H110" s="6" t="n"/>
      <c r="I110" s="61" t="n"/>
      <c r="J110" s="6" t="n"/>
      <c r="K110" s="6" t="n"/>
      <c r="L110" s="6" t="n"/>
      <c r="M110" s="7">
        <f>IF(H110="","",IFERROR(VLOOKUP(K110,$P$5:$Q$15,2,FALSE),"현금·선물"))</f>
        <v/>
      </c>
    </row>
    <row r="111">
      <c r="H111" s="6" t="n"/>
      <c r="I111" s="61" t="n"/>
      <c r="J111" s="6" t="n"/>
      <c r="K111" s="6" t="n"/>
      <c r="L111" s="6" t="n"/>
      <c r="M111" s="7">
        <f>IF(H111="","",IFERROR(VLOOKUP(K111,$P$5:$Q$15,2,FALSE),"현금·선물"))</f>
        <v/>
      </c>
    </row>
    <row r="112">
      <c r="H112" s="6" t="n"/>
      <c r="I112" s="61" t="n"/>
      <c r="J112" s="6" t="n"/>
      <c r="K112" s="6" t="n"/>
      <c r="L112" s="6" t="n"/>
      <c r="M112" s="7">
        <f>IF(H112="","",IFERROR(VLOOKUP(K112,$P$5:$Q$15,2,FALSE),"현금·선물"))</f>
        <v/>
      </c>
    </row>
    <row r="113">
      <c r="H113" s="6" t="n"/>
      <c r="I113" s="61" t="n"/>
      <c r="J113" s="6" t="n"/>
      <c r="K113" s="6" t="n"/>
      <c r="L113" s="6" t="n"/>
      <c r="M113" s="7">
        <f>IF(H113="","",IFERROR(VLOOKUP(K113,$P$5:$Q$15,2,FALSE),"현금·선물"))</f>
        <v/>
      </c>
    </row>
    <row r="114">
      <c r="H114" s="6" t="n"/>
      <c r="I114" s="61" t="n"/>
      <c r="J114" s="6" t="n"/>
      <c r="K114" s="6" t="n"/>
      <c r="L114" s="6" t="n"/>
      <c r="M114" s="7">
        <f>IF(H114="","",IFERROR(VLOOKUP(K114,$P$5:$Q$15,2,FALSE),"현금·선물"))</f>
        <v/>
      </c>
    </row>
    <row r="115">
      <c r="H115" s="6" t="n"/>
      <c r="I115" s="61" t="n"/>
      <c r="J115" s="6" t="n"/>
      <c r="K115" s="6" t="n"/>
      <c r="L115" s="6" t="n"/>
      <c r="M115" s="7">
        <f>IF(H115="","",IFERROR(VLOOKUP(K115,$P$5:$Q$15,2,FALSE),"현금·선물"))</f>
        <v/>
      </c>
    </row>
    <row r="116">
      <c r="H116" s="6" t="n"/>
      <c r="I116" s="61" t="n"/>
      <c r="J116" s="6" t="n"/>
      <c r="K116" s="6" t="n"/>
      <c r="L116" s="6" t="n"/>
      <c r="M116" s="7">
        <f>IF(H116="","",IFERROR(VLOOKUP(K116,$P$5:$Q$15,2,FALSE),"현금·선물"))</f>
        <v/>
      </c>
    </row>
    <row r="117">
      <c r="H117" s="6" t="n"/>
      <c r="I117" s="61" t="n"/>
      <c r="J117" s="6" t="n"/>
      <c r="K117" s="6" t="n"/>
      <c r="L117" s="6" t="n"/>
      <c r="M117" s="7">
        <f>IF(H117="","",IFERROR(VLOOKUP(K117,$P$5:$Q$15,2,FALSE),"현금·선물"))</f>
        <v/>
      </c>
    </row>
    <row r="118">
      <c r="H118" s="6" t="n"/>
      <c r="I118" s="61" t="n"/>
      <c r="J118" s="6" t="n"/>
      <c r="K118" s="6" t="n"/>
      <c r="L118" s="6" t="n"/>
      <c r="M118" s="7">
        <f>IF(H118="","",IFERROR(VLOOKUP(K118,$P$5:$Q$15,2,FALSE),"현금·선물"))</f>
        <v/>
      </c>
    </row>
    <row r="119">
      <c r="H119" s="6" t="n"/>
      <c r="I119" s="61" t="n"/>
      <c r="J119" s="6" t="n"/>
      <c r="K119" s="6" t="n"/>
      <c r="L119" s="6" t="n"/>
      <c r="M119" s="7">
        <f>IF(H119="","",IFERROR(VLOOKUP(K119,$P$5:$Q$15,2,FALSE),"현금·선물"))</f>
        <v/>
      </c>
    </row>
    <row r="120">
      <c r="H120" s="6" t="n"/>
      <c r="I120" s="61" t="n"/>
      <c r="J120" s="6" t="n"/>
      <c r="K120" s="6" t="n"/>
      <c r="L120" s="6" t="n"/>
      <c r="M120" s="7">
        <f>IF(H120="","",IFERROR(VLOOKUP(K120,$P$5:$Q$15,2,FALSE),"현금·선물"))</f>
        <v/>
      </c>
    </row>
    <row r="121">
      <c r="H121" s="6" t="n"/>
      <c r="I121" s="61" t="n"/>
      <c r="J121" s="6" t="n"/>
      <c r="K121" s="6" t="n"/>
      <c r="L121" s="6" t="n"/>
      <c r="M121" s="7">
        <f>IF(H121="","",IFERROR(VLOOKUP(K121,$P$5:$Q$15,2,FALSE),"현금·선물"))</f>
        <v/>
      </c>
    </row>
    <row r="122">
      <c r="H122" s="6" t="n"/>
      <c r="I122" s="61" t="n"/>
      <c r="J122" s="6" t="n"/>
      <c r="K122" s="6" t="n"/>
      <c r="L122" s="6" t="n"/>
      <c r="M122" s="7">
        <f>IF(H122="","",IFERROR(VLOOKUP(K122,$P$5:$Q$15,2,FALSE),"현금·선물"))</f>
        <v/>
      </c>
    </row>
    <row r="123">
      <c r="H123" s="6" t="n"/>
      <c r="I123" s="61" t="n"/>
      <c r="J123" s="6" t="n"/>
      <c r="K123" s="6" t="n"/>
      <c r="L123" s="6" t="n"/>
      <c r="M123" s="7">
        <f>IF(H123="","",IFERROR(VLOOKUP(K123,$P$5:$Q$15,2,FALSE),"현금·선물"))</f>
        <v/>
      </c>
    </row>
    <row r="124">
      <c r="H124" s="6" t="n"/>
      <c r="I124" s="61" t="n"/>
      <c r="J124" s="6" t="n"/>
      <c r="K124" s="6" t="n"/>
      <c r="L124" s="6" t="n"/>
      <c r="M124" s="7">
        <f>IF(H124="","",IFERROR(VLOOKUP(K124,$P$5:$Q$15,2,FALSE),"현금·선물"))</f>
        <v/>
      </c>
    </row>
    <row r="125">
      <c r="H125" s="6" t="n"/>
      <c r="I125" s="61" t="n"/>
      <c r="J125" s="6" t="n"/>
      <c r="K125" s="6" t="n"/>
      <c r="L125" s="6" t="n"/>
      <c r="M125" s="7">
        <f>IF(H125="","",IFERROR(VLOOKUP(K125,$P$5:$Q$15,2,FALSE),"현금·선물"))</f>
        <v/>
      </c>
    </row>
    <row r="126">
      <c r="H126" s="6" t="n"/>
      <c r="I126" s="61" t="n"/>
      <c r="J126" s="6" t="n"/>
      <c r="K126" s="6" t="n"/>
      <c r="L126" s="6" t="n"/>
      <c r="M126" s="7">
        <f>IF(H126="","",IFERROR(VLOOKUP(K126,$P$5:$Q$15,2,FALSE),"현금·선물"))</f>
        <v/>
      </c>
    </row>
    <row r="127">
      <c r="H127" s="6" t="n"/>
      <c r="I127" s="61" t="n"/>
      <c r="J127" s="6" t="n"/>
      <c r="K127" s="6" t="n"/>
      <c r="L127" s="6" t="n"/>
      <c r="M127" s="7">
        <f>IF(H127="","",IFERROR(VLOOKUP(K127,$P$5:$Q$15,2,FALSE),"현금·선물"))</f>
        <v/>
      </c>
    </row>
    <row r="128">
      <c r="H128" s="6" t="n"/>
      <c r="I128" s="61" t="n"/>
      <c r="J128" s="6" t="n"/>
      <c r="K128" s="6" t="n"/>
      <c r="L128" s="6" t="n"/>
      <c r="M128" s="7">
        <f>IF(H128="","",IFERROR(VLOOKUP(K128,$P$5:$Q$15,2,FALSE),"현금·선물"))</f>
        <v/>
      </c>
    </row>
    <row r="129">
      <c r="H129" s="6" t="n"/>
      <c r="I129" s="61" t="n"/>
      <c r="J129" s="6" t="n"/>
      <c r="K129" s="6" t="n"/>
      <c r="L129" s="6" t="n"/>
      <c r="M129" s="7">
        <f>IF(H129="","",IFERROR(VLOOKUP(K129,$P$5:$Q$15,2,FALSE),"현금·선물"))</f>
        <v/>
      </c>
    </row>
    <row r="130">
      <c r="H130" s="6" t="n"/>
      <c r="I130" s="61" t="n"/>
      <c r="J130" s="6" t="n"/>
      <c r="K130" s="6" t="n"/>
      <c r="L130" s="6" t="n"/>
      <c r="M130" s="7">
        <f>IF(H130="","",IFERROR(VLOOKUP(K130,$P$5:$Q$15,2,FALSE),"현금·선물"))</f>
        <v/>
      </c>
    </row>
    <row r="131">
      <c r="H131" s="6" t="n"/>
      <c r="I131" s="61" t="n"/>
      <c r="J131" s="6" t="n"/>
      <c r="K131" s="6" t="n"/>
      <c r="L131" s="6" t="n"/>
      <c r="M131" s="7">
        <f>IF(H131="","",IFERROR(VLOOKUP(K131,$P$5:$Q$15,2,FALSE),"현금·선물"))</f>
        <v/>
      </c>
    </row>
    <row r="132">
      <c r="H132" s="6" t="n"/>
      <c r="I132" s="61" t="n"/>
      <c r="J132" s="6" t="n"/>
      <c r="K132" s="6" t="n"/>
      <c r="L132" s="6" t="n"/>
      <c r="M132" s="7">
        <f>IF(H132="","",IFERROR(VLOOKUP(K132,$P$5:$Q$15,2,FALSE),"현금·선물"))</f>
        <v/>
      </c>
    </row>
    <row r="133">
      <c r="H133" s="6" t="n"/>
      <c r="I133" s="61" t="n"/>
      <c r="J133" s="6" t="n"/>
      <c r="K133" s="6" t="n"/>
      <c r="L133" s="6" t="n"/>
      <c r="M133" s="7">
        <f>IF(H133="","",IFERROR(VLOOKUP(K133,$P$5:$Q$15,2,FALSE),"현금·선물"))</f>
        <v/>
      </c>
    </row>
    <row r="134">
      <c r="H134" s="6" t="n"/>
      <c r="I134" s="61" t="n"/>
      <c r="J134" s="6" t="n"/>
      <c r="K134" s="6" t="n"/>
      <c r="L134" s="6" t="n"/>
      <c r="M134" s="7">
        <f>IF(H134="","",IFERROR(VLOOKUP(K134,$P$5:$Q$15,2,FALSE),"현금·선물"))</f>
        <v/>
      </c>
    </row>
    <row r="135">
      <c r="H135" s="6" t="n"/>
      <c r="I135" s="61" t="n"/>
      <c r="J135" s="6" t="n"/>
      <c r="K135" s="6" t="n"/>
      <c r="L135" s="6" t="n"/>
      <c r="M135" s="7">
        <f>IF(H135="","",IFERROR(VLOOKUP(K135,$P$5:$Q$15,2,FALSE),"현금·선물"))</f>
        <v/>
      </c>
    </row>
    <row r="136">
      <c r="H136" s="6" t="n"/>
      <c r="I136" s="61" t="n"/>
      <c r="J136" s="6" t="n"/>
      <c r="K136" s="6" t="n"/>
      <c r="L136" s="6" t="n"/>
      <c r="M136" s="7">
        <f>IF(H136="","",IFERROR(VLOOKUP(K136,$P$5:$Q$15,2,FALSE),"현금·선물"))</f>
        <v/>
      </c>
    </row>
    <row r="137">
      <c r="H137" s="6" t="n"/>
      <c r="I137" s="61" t="n"/>
      <c r="J137" s="6" t="n"/>
      <c r="K137" s="6" t="n"/>
      <c r="L137" s="6" t="n"/>
      <c r="M137" s="7">
        <f>IF(H137="","",IFERROR(VLOOKUP(K137,$P$5:$Q$15,2,FALSE),"현금·선물"))</f>
        <v/>
      </c>
    </row>
    <row r="138">
      <c r="H138" s="6" t="n"/>
      <c r="I138" s="61" t="n"/>
      <c r="J138" s="6" t="n"/>
      <c r="K138" s="6" t="n"/>
      <c r="L138" s="6" t="n"/>
      <c r="M138" s="7">
        <f>IF(H138="","",IFERROR(VLOOKUP(K138,$P$5:$Q$15,2,FALSE),"현금·선물"))</f>
        <v/>
      </c>
    </row>
    <row r="139">
      <c r="H139" s="6" t="n"/>
      <c r="I139" s="61" t="n"/>
      <c r="J139" s="6" t="n"/>
      <c r="K139" s="6" t="n"/>
      <c r="L139" s="6" t="n"/>
      <c r="M139" s="7">
        <f>IF(H139="","",IFERROR(VLOOKUP(K139,$P$5:$Q$15,2,FALSE),"현금·선물"))</f>
        <v/>
      </c>
    </row>
    <row r="140">
      <c r="H140" s="6" t="n"/>
      <c r="I140" s="61" t="n"/>
      <c r="J140" s="6" t="n"/>
      <c r="K140" s="6" t="n"/>
      <c r="L140" s="6" t="n"/>
      <c r="M140" s="7">
        <f>IF(H140="","",IFERROR(VLOOKUP(K140,$P$5:$Q$15,2,FALSE),"현금·선물"))</f>
        <v/>
      </c>
    </row>
    <row r="141">
      <c r="H141" s="6" t="n"/>
      <c r="I141" s="61" t="n"/>
      <c r="J141" s="6" t="n"/>
      <c r="K141" s="6" t="n"/>
      <c r="L141" s="6" t="n"/>
      <c r="M141" s="7">
        <f>IF(H141="","",IFERROR(VLOOKUP(K141,$P$5:$Q$15,2,FALSE),"현금·선물"))</f>
        <v/>
      </c>
    </row>
    <row r="142">
      <c r="H142" s="6" t="n"/>
      <c r="I142" s="61" t="n"/>
      <c r="J142" s="6" t="n"/>
      <c r="K142" s="6" t="n"/>
      <c r="L142" s="6" t="n"/>
      <c r="M142" s="7">
        <f>IF(H142="","",IFERROR(VLOOKUP(K142,$P$5:$Q$15,2,FALSE),"현금·선물"))</f>
        <v/>
      </c>
    </row>
    <row r="143">
      <c r="H143" s="6" t="n"/>
      <c r="I143" s="61" t="n"/>
      <c r="J143" s="6" t="n"/>
      <c r="K143" s="6" t="n"/>
      <c r="L143" s="6" t="n"/>
      <c r="M143" s="7">
        <f>IF(H143="","",IFERROR(VLOOKUP(K143,$P$5:$Q$15,2,FALSE),"현금·선물"))</f>
        <v/>
      </c>
    </row>
    <row r="144">
      <c r="H144" s="6" t="n"/>
      <c r="I144" s="61" t="n"/>
      <c r="J144" s="6" t="n"/>
      <c r="K144" s="6" t="n"/>
      <c r="L144" s="6" t="n"/>
      <c r="M144" s="7">
        <f>IF(H144="","",IFERROR(VLOOKUP(K144,$P$5:$Q$15,2,FALSE),"현금·선물"))</f>
        <v/>
      </c>
    </row>
    <row r="145">
      <c r="H145" s="6" t="n"/>
      <c r="I145" s="61" t="n"/>
      <c r="J145" s="6" t="n"/>
      <c r="K145" s="6" t="n"/>
      <c r="L145" s="6" t="n"/>
      <c r="M145" s="7">
        <f>IF(H145="","",IFERROR(VLOOKUP(K145,$P$5:$Q$15,2,FALSE),"현금·선물"))</f>
        <v/>
      </c>
    </row>
    <row r="146">
      <c r="H146" s="6" t="n"/>
      <c r="I146" s="61" t="n"/>
      <c r="J146" s="6" t="n"/>
      <c r="K146" s="6" t="n"/>
      <c r="L146" s="6" t="n"/>
      <c r="M146" s="7">
        <f>IF(H146="","",IFERROR(VLOOKUP(K146,$P$5:$Q$15,2,FALSE),"현금·선물"))</f>
        <v/>
      </c>
    </row>
    <row r="147">
      <c r="H147" s="6" t="n"/>
      <c r="I147" s="61" t="n"/>
      <c r="J147" s="6" t="n"/>
      <c r="K147" s="6" t="n"/>
      <c r="L147" s="6" t="n"/>
      <c r="M147" s="7">
        <f>IF(H147="","",IFERROR(VLOOKUP(K147,$P$5:$Q$15,2,FALSE),"현금·선물"))</f>
        <v/>
      </c>
    </row>
    <row r="148">
      <c r="H148" s="6" t="n"/>
      <c r="I148" s="61" t="n"/>
      <c r="J148" s="6" t="n"/>
      <c r="K148" s="6" t="n"/>
      <c r="L148" s="6" t="n"/>
      <c r="M148" s="7">
        <f>IF(H148="","",IFERROR(VLOOKUP(K148,$P$5:$Q$15,2,FALSE),"현금·선물"))</f>
        <v/>
      </c>
    </row>
    <row r="149">
      <c r="H149" s="6" t="n"/>
      <c r="I149" s="61" t="n"/>
      <c r="J149" s="6" t="n"/>
      <c r="K149" s="6" t="n"/>
      <c r="L149" s="6" t="n"/>
      <c r="M149" s="7">
        <f>IF(H149="","",IFERROR(VLOOKUP(K149,$P$5:$Q$15,2,FALSE),"현금·선물"))</f>
        <v/>
      </c>
    </row>
    <row r="150">
      <c r="H150" s="6" t="n"/>
      <c r="I150" s="61" t="n"/>
      <c r="J150" s="6" t="n"/>
      <c r="K150" s="6" t="n"/>
      <c r="L150" s="6" t="n"/>
      <c r="M150" s="7">
        <f>IF(H150="","",IFERROR(VLOOKUP(K150,$P$5:$Q$15,2,FALSE),"현금·선물"))</f>
        <v/>
      </c>
    </row>
    <row r="151">
      <c r="H151" s="6" t="n"/>
      <c r="I151" s="61" t="n"/>
      <c r="J151" s="6" t="n"/>
      <c r="K151" s="6" t="n"/>
      <c r="L151" s="6" t="n"/>
      <c r="M151" s="7">
        <f>IF(H151="","",IFERROR(VLOOKUP(K151,$P$5:$Q$15,2,FALSE),"현금·선물"))</f>
        <v/>
      </c>
    </row>
    <row r="152">
      <c r="H152" s="6" t="n"/>
      <c r="I152" s="61" t="n"/>
      <c r="J152" s="6" t="n"/>
      <c r="K152" s="6" t="n"/>
      <c r="L152" s="6" t="n"/>
      <c r="M152" s="7">
        <f>IF(H152="","",IFERROR(VLOOKUP(K152,$P$5:$Q$15,2,FALSE),"현금·선물"))</f>
        <v/>
      </c>
    </row>
    <row r="153">
      <c r="H153" s="6" t="n"/>
      <c r="I153" s="61" t="n"/>
      <c r="J153" s="6" t="n"/>
      <c r="K153" s="6" t="n"/>
      <c r="L153" s="6" t="n"/>
      <c r="M153" s="7">
        <f>IF(H153="","",IFERROR(VLOOKUP(K153,$P$5:$Q$15,2,FALSE),"현금·선물"))</f>
        <v/>
      </c>
    </row>
    <row r="154">
      <c r="H154" s="6" t="n"/>
      <c r="I154" s="61" t="n"/>
      <c r="J154" s="6" t="n"/>
      <c r="K154" s="6" t="n"/>
      <c r="L154" s="6" t="n"/>
      <c r="M154" s="7">
        <f>IF(H154="","",IFERROR(VLOOKUP(K154,$P$5:$Q$15,2,FALSE),"현금·선물"))</f>
        <v/>
      </c>
    </row>
    <row r="155">
      <c r="H155" s="6" t="n"/>
      <c r="I155" s="61" t="n"/>
      <c r="J155" s="6" t="n"/>
      <c r="K155" s="6" t="n"/>
      <c r="L155" s="6" t="n"/>
      <c r="M155" s="7">
        <f>IF(H155="","",IFERROR(VLOOKUP(K155,$P$5:$Q$15,2,FALSE),"현금·선물"))</f>
        <v/>
      </c>
    </row>
    <row r="156">
      <c r="H156" s="6" t="n"/>
      <c r="I156" s="61" t="n"/>
      <c r="J156" s="6" t="n"/>
      <c r="K156" s="6" t="n"/>
      <c r="L156" s="6" t="n"/>
      <c r="M156" s="7">
        <f>IF(H156="","",IFERROR(VLOOKUP(K156,$P$5:$Q$15,2,FALSE),"현금·선물"))</f>
        <v/>
      </c>
    </row>
    <row r="157">
      <c r="H157" s="6" t="n"/>
      <c r="I157" s="61" t="n"/>
      <c r="J157" s="6" t="n"/>
      <c r="K157" s="6" t="n"/>
      <c r="L157" s="6" t="n"/>
      <c r="M157" s="7">
        <f>IF(H157="","",IFERROR(VLOOKUP(K157,$P$5:$Q$15,2,FALSE),"현금·선물"))</f>
        <v/>
      </c>
    </row>
    <row r="158">
      <c r="H158" s="6" t="n"/>
      <c r="I158" s="61" t="n"/>
      <c r="J158" s="6" t="n"/>
      <c r="K158" s="6" t="n"/>
      <c r="L158" s="6" t="n"/>
      <c r="M158" s="7">
        <f>IF(H158="","",IFERROR(VLOOKUP(K158,$P$5:$Q$15,2,FALSE),"현금·선물"))</f>
        <v/>
      </c>
    </row>
    <row r="159">
      <c r="H159" s="6" t="n"/>
      <c r="I159" s="61" t="n"/>
      <c r="J159" s="6" t="n"/>
      <c r="K159" s="6" t="n"/>
      <c r="L159" s="6" t="n"/>
      <c r="M159" s="7">
        <f>IF(H159="","",IFERROR(VLOOKUP(K159,$P$5:$Q$15,2,FALSE),"현금·선물"))</f>
        <v/>
      </c>
    </row>
    <row r="160">
      <c r="H160" s="6" t="n"/>
      <c r="I160" s="61" t="n"/>
      <c r="J160" s="6" t="n"/>
      <c r="K160" s="6" t="n"/>
      <c r="L160" s="6" t="n"/>
      <c r="M160" s="7">
        <f>IF(H160="","",IFERROR(VLOOKUP(K160,$P$5:$Q$15,2,FALSE),"현금·선물"))</f>
        <v/>
      </c>
    </row>
    <row r="161">
      <c r="H161" s="6" t="n"/>
      <c r="I161" s="61" t="n"/>
      <c r="J161" s="6" t="n"/>
      <c r="K161" s="6" t="n"/>
      <c r="L161" s="6" t="n"/>
      <c r="M161" s="7">
        <f>IF(H161="","",IFERROR(VLOOKUP(K161,$P$5:$Q$15,2,FALSE),"현금·선물"))</f>
        <v/>
      </c>
    </row>
    <row r="162">
      <c r="H162" s="6" t="n"/>
      <c r="I162" s="61" t="n"/>
      <c r="J162" s="6" t="n"/>
      <c r="K162" s="6" t="n"/>
      <c r="L162" s="6" t="n"/>
      <c r="M162" s="7">
        <f>IF(H162="","",IFERROR(VLOOKUP(K162,$P$5:$Q$15,2,FALSE),"현금·선물"))</f>
        <v/>
      </c>
    </row>
    <row r="163">
      <c r="H163" s="6" t="n"/>
      <c r="I163" s="61" t="n"/>
      <c r="J163" s="6" t="n"/>
      <c r="K163" s="6" t="n"/>
      <c r="L163" s="6" t="n"/>
      <c r="M163" s="7">
        <f>IF(H163="","",IFERROR(VLOOKUP(K163,$P$5:$Q$15,2,FALSE),"현금·선물"))</f>
        <v/>
      </c>
    </row>
    <row r="164">
      <c r="H164" s="6" t="n"/>
      <c r="I164" s="61" t="n"/>
      <c r="J164" s="6" t="n"/>
      <c r="K164" s="6" t="n"/>
      <c r="L164" s="6" t="n"/>
      <c r="M164" s="7">
        <f>IF(H164="","",IFERROR(VLOOKUP(K164,$P$5:$Q$15,2,FALSE),"현금·선물"))</f>
        <v/>
      </c>
    </row>
    <row r="165">
      <c r="H165" s="6" t="n"/>
      <c r="I165" s="61" t="n"/>
      <c r="J165" s="6" t="n"/>
      <c r="K165" s="6" t="n"/>
      <c r="L165" s="6" t="n"/>
      <c r="M165" s="7">
        <f>IF(H165="","",IFERROR(VLOOKUP(K165,$P$5:$Q$15,2,FALSE),"현금·선물"))</f>
        <v/>
      </c>
    </row>
    <row r="166">
      <c r="H166" s="6" t="n"/>
      <c r="I166" s="61" t="n"/>
      <c r="J166" s="6" t="n"/>
      <c r="K166" s="6" t="n"/>
      <c r="L166" s="6" t="n"/>
      <c r="M166" s="7">
        <f>IF(H166="","",IFERROR(VLOOKUP(K166,$P$5:$Q$15,2,FALSE),"현금·선물"))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14" customWidth="1" min="4" max="4"/>
    <col width="12" customWidth="1" min="5" max="5"/>
    <col width="12" customWidth="1" min="6" max="6"/>
  </cols>
  <sheetData>
    <row r="1" ht="34" customHeight="1">
      <c r="A1" s="23" t="inlineStr">
        <is>
          <t>월</t>
        </is>
      </c>
      <c r="B1" s="23" t="inlineStr">
        <is>
          <t>월말 거래일</t>
        </is>
      </c>
      <c r="C1" s="23" t="inlineStr">
        <is>
          <t>종가(USD)</t>
        </is>
      </c>
      <c r="D1" s="23" t="inlineStr">
        <is>
          <t>배당 재투자 지수</t>
        </is>
      </c>
      <c r="E1" s="23" t="inlineStr">
        <is>
          <t>종가 전년 대비</t>
        </is>
      </c>
      <c r="F1" s="23" t="inlineStr">
        <is>
          <t>재투자 전년 대비</t>
        </is>
      </c>
      <c r="H1" s="2" t="inlineStr">
        <is>
          <t>출처: Yahoo Finance (종가: 주식분할 반영·배당 미조정 / adj: 배당 재투자 반영 수정주가) · 기준일 2026-10-08 · 3:1 분할(2024-10-11) 반영 가격</t>
        </is>
      </c>
    </row>
    <row r="2">
      <c r="A2" s="55" t="inlineStr">
        <is>
          <t>2011-10</t>
        </is>
      </c>
      <c r="B2" s="56" t="n">
        <v>40847</v>
      </c>
      <c r="C2" s="65" t="n">
        <v>8.5</v>
      </c>
      <c r="D2" s="66" t="n">
        <v>5.287</v>
      </c>
      <c r="E2" s="55" t="n"/>
      <c r="F2" s="55" t="n"/>
    </row>
    <row r="3">
      <c r="A3" s="55" t="inlineStr">
        <is>
          <t>2011-11</t>
        </is>
      </c>
      <c r="B3" s="56" t="n">
        <v>40877</v>
      </c>
      <c r="C3" s="65" t="n">
        <v>8.640000000000001</v>
      </c>
      <c r="D3" s="66" t="n">
        <v>5.3741</v>
      </c>
      <c r="E3" s="55" t="n"/>
      <c r="F3" s="55" t="n"/>
    </row>
    <row r="4">
      <c r="A4" s="55" t="inlineStr">
        <is>
          <t>2011-12</t>
        </is>
      </c>
      <c r="B4" s="56" t="n">
        <v>40907</v>
      </c>
      <c r="C4" s="65" t="n">
        <v>8.726699999999999</v>
      </c>
      <c r="D4" s="66" t="n">
        <v>5.4541</v>
      </c>
      <c r="E4" s="55" t="n"/>
      <c r="F4" s="55" t="n"/>
    </row>
    <row r="5">
      <c r="A5" s="55" t="inlineStr">
        <is>
          <t>2012-01</t>
        </is>
      </c>
      <c r="B5" s="56" t="n">
        <v>40939</v>
      </c>
      <c r="C5" s="65" t="n">
        <v>8.869999999999999</v>
      </c>
      <c r="D5" s="66" t="n">
        <v>5.5437</v>
      </c>
      <c r="E5" s="55" t="n"/>
      <c r="F5" s="55" t="n"/>
    </row>
    <row r="6">
      <c r="A6" s="55" t="inlineStr">
        <is>
          <t>2012-02</t>
        </is>
      </c>
      <c r="B6" s="56" t="n">
        <v>40968</v>
      </c>
      <c r="C6" s="65" t="n">
        <v>9.1233</v>
      </c>
      <c r="D6" s="66" t="n">
        <v>5.702</v>
      </c>
      <c r="E6" s="55" t="n"/>
      <c r="F6" s="55" t="n"/>
    </row>
    <row r="7">
      <c r="A7" s="55" t="inlineStr">
        <is>
          <t>2012-03</t>
        </is>
      </c>
      <c r="B7" s="56" t="n">
        <v>40998</v>
      </c>
      <c r="C7" s="65" t="n">
        <v>9.2967</v>
      </c>
      <c r="D7" s="66" t="n">
        <v>5.8393</v>
      </c>
      <c r="E7" s="55" t="n"/>
      <c r="F7" s="55" t="n"/>
    </row>
    <row r="8">
      <c r="A8" s="55" t="inlineStr">
        <is>
          <t>2012-04</t>
        </is>
      </c>
      <c r="B8" s="56" t="n">
        <v>41029</v>
      </c>
      <c r="C8" s="65" t="n">
        <v>9.2867</v>
      </c>
      <c r="D8" s="66" t="n">
        <v>5.833</v>
      </c>
      <c r="E8" s="55" t="n"/>
      <c r="F8" s="55" t="n"/>
    </row>
    <row r="9">
      <c r="A9" s="55" t="inlineStr">
        <is>
          <t>2012-05</t>
        </is>
      </c>
      <c r="B9" s="56" t="n">
        <v>41060</v>
      </c>
      <c r="C9" s="65" t="n">
        <v>8.933299999999999</v>
      </c>
      <c r="D9" s="66" t="n">
        <v>5.6111</v>
      </c>
      <c r="E9" s="55" t="n"/>
      <c r="F9" s="55" t="n"/>
    </row>
    <row r="10">
      <c r="A10" s="55" t="inlineStr">
        <is>
          <t>2012-06</t>
        </is>
      </c>
      <c r="B10" s="56" t="n">
        <v>41089</v>
      </c>
      <c r="C10" s="65" t="n">
        <v>9.253299999999999</v>
      </c>
      <c r="D10" s="66" t="n">
        <v>5.8558</v>
      </c>
      <c r="E10" s="55" t="n"/>
      <c r="F10" s="55" t="n"/>
    </row>
    <row r="11">
      <c r="A11" s="55" t="inlineStr">
        <is>
          <t>2012-07</t>
        </is>
      </c>
      <c r="B11" s="56" t="n">
        <v>41121</v>
      </c>
      <c r="C11" s="65" t="n">
        <v>9.48</v>
      </c>
      <c r="D11" s="66" t="n">
        <v>5.9992</v>
      </c>
      <c r="E11" s="55" t="n"/>
      <c r="F11" s="55" t="n"/>
    </row>
    <row r="12">
      <c r="A12" s="55" t="inlineStr">
        <is>
          <t>2012-08</t>
        </is>
      </c>
      <c r="B12" s="56" t="n">
        <v>41152</v>
      </c>
      <c r="C12" s="65" t="n">
        <v>9.5367</v>
      </c>
      <c r="D12" s="66" t="n">
        <v>6.0351</v>
      </c>
      <c r="E12" s="55" t="n"/>
      <c r="F12" s="55" t="n"/>
    </row>
    <row r="13">
      <c r="A13" s="55" t="inlineStr">
        <is>
          <t>2012-09</t>
        </is>
      </c>
      <c r="B13" s="56" t="n">
        <v>41180</v>
      </c>
      <c r="C13" s="65" t="n">
        <v>9.583299999999999</v>
      </c>
      <c r="D13" s="66" t="n">
        <v>6.1081</v>
      </c>
      <c r="E13" s="55" t="n"/>
      <c r="F13" s="55" t="n"/>
    </row>
    <row r="14">
      <c r="A14" s="55" t="inlineStr">
        <is>
          <t>2012-10</t>
        </is>
      </c>
      <c r="B14" s="56" t="n">
        <v>41213</v>
      </c>
      <c r="C14" s="65" t="n">
        <v>9.4933</v>
      </c>
      <c r="D14" s="66" t="n">
        <v>6.0508</v>
      </c>
      <c r="E14" s="58">
        <f>C14/C2-1</f>
        <v/>
      </c>
      <c r="F14" s="58">
        <f>D14/D2-1</f>
        <v/>
      </c>
    </row>
    <row r="15">
      <c r="A15" s="55" t="inlineStr">
        <is>
          <t>2012-11</t>
        </is>
      </c>
      <c r="B15" s="56" t="n">
        <v>41243</v>
      </c>
      <c r="C15" s="65" t="n">
        <v>9.5367</v>
      </c>
      <c r="D15" s="66" t="n">
        <v>6.0784</v>
      </c>
      <c r="E15" s="58">
        <f>C15/C3-1</f>
        <v/>
      </c>
      <c r="F15" s="58">
        <f>D15/D3-1</f>
        <v/>
      </c>
    </row>
    <row r="16">
      <c r="A16" s="55" t="inlineStr">
        <is>
          <t>2012-12</t>
        </is>
      </c>
      <c r="B16" s="56" t="n">
        <v>41274</v>
      </c>
      <c r="C16" s="65" t="n">
        <v>9.4467</v>
      </c>
      <c r="D16" s="66" t="n">
        <v>6.0754</v>
      </c>
      <c r="E16" s="58">
        <f>C16/C4-1</f>
        <v/>
      </c>
      <c r="F16" s="58">
        <f>D16/D4-1</f>
        <v/>
      </c>
    </row>
    <row r="17">
      <c r="A17" s="55" t="inlineStr">
        <is>
          <t>2013-01</t>
        </is>
      </c>
      <c r="B17" s="56" t="n">
        <v>41305</v>
      </c>
      <c r="C17" s="65" t="n">
        <v>9.970000000000001</v>
      </c>
      <c r="D17" s="66" t="n">
        <v>6.412</v>
      </c>
      <c r="E17" s="58">
        <f>C17/C5-1</f>
        <v/>
      </c>
      <c r="F17" s="58">
        <f>D17/D5-1</f>
        <v/>
      </c>
    </row>
    <row r="18">
      <c r="A18" s="55" t="inlineStr">
        <is>
          <t>2013-02</t>
        </is>
      </c>
      <c r="B18" s="56" t="n">
        <v>41333</v>
      </c>
      <c r="C18" s="65" t="n">
        <v>10.18</v>
      </c>
      <c r="D18" s="66" t="n">
        <v>6.547</v>
      </c>
      <c r="E18" s="58">
        <f>C18/C6-1</f>
        <v/>
      </c>
      <c r="F18" s="58">
        <f>D18/D6-1</f>
        <v/>
      </c>
    </row>
    <row r="19">
      <c r="A19" s="55" t="inlineStr">
        <is>
          <t>2013-03</t>
        </is>
      </c>
      <c r="B19" s="56" t="n">
        <v>41361</v>
      </c>
      <c r="C19" s="65" t="n">
        <v>10.5967</v>
      </c>
      <c r="D19" s="66" t="n">
        <v>6.8585</v>
      </c>
      <c r="E19" s="58">
        <f>C19/C7-1</f>
        <v/>
      </c>
      <c r="F19" s="58">
        <f>D19/D7-1</f>
        <v/>
      </c>
    </row>
    <row r="20">
      <c r="A20" s="55" t="inlineStr">
        <is>
          <t>2013-04</t>
        </is>
      </c>
      <c r="B20" s="56" t="n">
        <v>41394</v>
      </c>
      <c r="C20" s="65" t="n">
        <v>10.9133</v>
      </c>
      <c r="D20" s="66" t="n">
        <v>7.0635</v>
      </c>
      <c r="E20" s="58">
        <f>C20/C8-1</f>
        <v/>
      </c>
      <c r="F20" s="58">
        <f>D20/D8-1</f>
        <v/>
      </c>
    </row>
    <row r="21">
      <c r="A21" s="55" t="inlineStr">
        <is>
          <t>2013-05</t>
        </is>
      </c>
      <c r="B21" s="56" t="n">
        <v>41425</v>
      </c>
      <c r="C21" s="65" t="n">
        <v>11.0667</v>
      </c>
      <c r="D21" s="66" t="n">
        <v>7.1627</v>
      </c>
      <c r="E21" s="58">
        <f>C21/C9-1</f>
        <v/>
      </c>
      <c r="F21" s="58">
        <f>D21/D9-1</f>
        <v/>
      </c>
    </row>
    <row r="22">
      <c r="A22" s="55" t="inlineStr">
        <is>
          <t>2013-06</t>
        </is>
      </c>
      <c r="B22" s="56" t="n">
        <v>41453</v>
      </c>
      <c r="C22" s="65" t="n">
        <v>10.9</v>
      </c>
      <c r="D22" s="66" t="n">
        <v>7.1037</v>
      </c>
      <c r="E22" s="58">
        <f>C22/C10-1</f>
        <v/>
      </c>
      <c r="F22" s="58">
        <f>D22/D10-1</f>
        <v/>
      </c>
    </row>
    <row r="23">
      <c r="A23" s="55" t="inlineStr">
        <is>
          <t>2013-07</t>
        </is>
      </c>
      <c r="B23" s="56" t="n">
        <v>41486</v>
      </c>
      <c r="C23" s="65" t="n">
        <v>11.4</v>
      </c>
      <c r="D23" s="66" t="n">
        <v>7.4296</v>
      </c>
      <c r="E23" s="58">
        <f>C23/C11-1</f>
        <v/>
      </c>
      <c r="F23" s="58">
        <f>D23/D11-1</f>
        <v/>
      </c>
    </row>
    <row r="24">
      <c r="A24" s="55" t="inlineStr">
        <is>
          <t>2013-08</t>
        </is>
      </c>
      <c r="B24" s="56" t="n">
        <v>41516</v>
      </c>
      <c r="C24" s="65" t="n">
        <v>10.9967</v>
      </c>
      <c r="D24" s="66" t="n">
        <v>7.1667</v>
      </c>
      <c r="E24" s="58">
        <f>C24/C12-1</f>
        <v/>
      </c>
      <c r="F24" s="58">
        <f>D24/D12-1</f>
        <v/>
      </c>
    </row>
    <row r="25">
      <c r="A25" s="55" t="inlineStr">
        <is>
          <t>2013-09</t>
        </is>
      </c>
      <c r="B25" s="56" t="n">
        <v>41547</v>
      </c>
      <c r="C25" s="65" t="n">
        <v>11.2167</v>
      </c>
      <c r="D25" s="66" t="n">
        <v>7.3593</v>
      </c>
      <c r="E25" s="58">
        <f>C25/C13-1</f>
        <v/>
      </c>
      <c r="F25" s="58">
        <f>D25/D13-1</f>
        <v/>
      </c>
    </row>
    <row r="26">
      <c r="A26" s="55" t="inlineStr">
        <is>
          <t>2013-10</t>
        </is>
      </c>
      <c r="B26" s="56" t="n">
        <v>41578</v>
      </c>
      <c r="C26" s="65" t="n">
        <v>11.7767</v>
      </c>
      <c r="D26" s="66" t="n">
        <v>7.7267</v>
      </c>
      <c r="E26" s="58">
        <f>C26/C14-1</f>
        <v/>
      </c>
      <c r="F26" s="58">
        <f>D26/D14-1</f>
        <v/>
      </c>
    </row>
    <row r="27">
      <c r="A27" s="55" t="inlineStr">
        <is>
          <t>2013-11</t>
        </is>
      </c>
      <c r="B27" s="56" t="n">
        <v>41607</v>
      </c>
      <c r="C27" s="65" t="n">
        <v>12.0767</v>
      </c>
      <c r="D27" s="66" t="n">
        <v>7.9236</v>
      </c>
      <c r="E27" s="58">
        <f>C27/C15-1</f>
        <v/>
      </c>
      <c r="F27" s="58">
        <f>D27/D15-1</f>
        <v/>
      </c>
    </row>
    <row r="28">
      <c r="A28" s="55" t="inlineStr">
        <is>
          <t>2013-12</t>
        </is>
      </c>
      <c r="B28" s="56" t="n">
        <v>41639</v>
      </c>
      <c r="C28" s="65" t="n">
        <v>12.22</v>
      </c>
      <c r="D28" s="66" t="n">
        <v>8.072900000000001</v>
      </c>
      <c r="E28" s="58">
        <f>C28/C16-1</f>
        <v/>
      </c>
      <c r="F28" s="58">
        <f>D28/D16-1</f>
        <v/>
      </c>
    </row>
    <row r="29">
      <c r="A29" s="55" t="inlineStr">
        <is>
          <t>2014-01</t>
        </is>
      </c>
      <c r="B29" s="56" t="n">
        <v>41670</v>
      </c>
      <c r="C29" s="65" t="n">
        <v>11.6767</v>
      </c>
      <c r="D29" s="66" t="n">
        <v>7.7139</v>
      </c>
      <c r="E29" s="58">
        <f>C29/C17-1</f>
        <v/>
      </c>
      <c r="F29" s="58">
        <f>D29/D17-1</f>
        <v/>
      </c>
    </row>
    <row r="30">
      <c r="A30" s="55" t="inlineStr">
        <is>
          <t>2014-02</t>
        </is>
      </c>
      <c r="B30" s="56" t="n">
        <v>41698</v>
      </c>
      <c r="C30" s="65" t="n">
        <v>12.13</v>
      </c>
      <c r="D30" s="66" t="n">
        <v>8.013400000000001</v>
      </c>
      <c r="E30" s="58">
        <f>C30/C18-1</f>
        <v/>
      </c>
      <c r="F30" s="58">
        <f>D30/D18-1</f>
        <v/>
      </c>
    </row>
    <row r="31">
      <c r="A31" s="55" t="inlineStr">
        <is>
          <t>2014-03</t>
        </is>
      </c>
      <c r="B31" s="56" t="n">
        <v>41729</v>
      </c>
      <c r="C31" s="65" t="n">
        <v>12.2833</v>
      </c>
      <c r="D31" s="66" t="n">
        <v>8.170199999999999</v>
      </c>
      <c r="E31" s="58">
        <f>C31/C19-1</f>
        <v/>
      </c>
      <c r="F31" s="58">
        <f>D31/D19-1</f>
        <v/>
      </c>
    </row>
    <row r="32">
      <c r="A32" s="55" t="inlineStr">
        <is>
          <t>2014-04</t>
        </is>
      </c>
      <c r="B32" s="56" t="n">
        <v>41759</v>
      </c>
      <c r="C32" s="65" t="n">
        <v>12.5067</v>
      </c>
      <c r="D32" s="66" t="n">
        <v>8.3187</v>
      </c>
      <c r="E32" s="58">
        <f>C32/C20-1</f>
        <v/>
      </c>
      <c r="F32" s="58">
        <f>D32/D20-1</f>
        <v/>
      </c>
    </row>
    <row r="33">
      <c r="A33" s="55" t="inlineStr">
        <is>
          <t>2014-05</t>
        </is>
      </c>
      <c r="B33" s="56" t="n">
        <v>41789</v>
      </c>
      <c r="C33" s="65" t="n">
        <v>12.6733</v>
      </c>
      <c r="D33" s="66" t="n">
        <v>8.429600000000001</v>
      </c>
      <c r="E33" s="58">
        <f>C33/C21-1</f>
        <v/>
      </c>
      <c r="F33" s="58">
        <f>D33/D21-1</f>
        <v/>
      </c>
    </row>
    <row r="34">
      <c r="A34" s="55" t="inlineStr">
        <is>
          <t>2014-06</t>
        </is>
      </c>
      <c r="B34" s="56" t="n">
        <v>41820</v>
      </c>
      <c r="C34" s="65" t="n">
        <v>12.7567</v>
      </c>
      <c r="D34" s="66" t="n">
        <v>8.5442</v>
      </c>
      <c r="E34" s="58">
        <f>C34/C22-1</f>
        <v/>
      </c>
      <c r="F34" s="58">
        <f>D34/D22-1</f>
        <v/>
      </c>
    </row>
    <row r="35">
      <c r="A35" s="55" t="inlineStr">
        <is>
          <t>2014-07</t>
        </is>
      </c>
      <c r="B35" s="56" t="n">
        <v>41851</v>
      </c>
      <c r="C35" s="65" t="n">
        <v>12.5367</v>
      </c>
      <c r="D35" s="66" t="n">
        <v>8.396800000000001</v>
      </c>
      <c r="E35" s="58">
        <f>C35/C23-1</f>
        <v/>
      </c>
      <c r="F35" s="58">
        <f>D35/D23-1</f>
        <v/>
      </c>
    </row>
    <row r="36">
      <c r="A36" s="55" t="inlineStr">
        <is>
          <t>2014-08</t>
        </is>
      </c>
      <c r="B36" s="56" t="n">
        <v>41880</v>
      </c>
      <c r="C36" s="65" t="n">
        <v>12.9667</v>
      </c>
      <c r="D36" s="66" t="n">
        <v>8.684799999999999</v>
      </c>
      <c r="E36" s="58">
        <f>C36/C24-1</f>
        <v/>
      </c>
      <c r="F36" s="58">
        <f>D36/D24-1</f>
        <v/>
      </c>
    </row>
    <row r="37">
      <c r="A37" s="55" t="inlineStr">
        <is>
          <t>2014-09</t>
        </is>
      </c>
      <c r="B37" s="56" t="n">
        <v>41912</v>
      </c>
      <c r="C37" s="65" t="n">
        <v>12.8533</v>
      </c>
      <c r="D37" s="66" t="n">
        <v>8.6648</v>
      </c>
      <c r="E37" s="58">
        <f>C37/C25-1</f>
        <v/>
      </c>
      <c r="F37" s="58">
        <f>D37/D25-1</f>
        <v/>
      </c>
    </row>
    <row r="38">
      <c r="A38" s="55" t="inlineStr">
        <is>
          <t>2014-10</t>
        </is>
      </c>
      <c r="B38" s="56" t="n">
        <v>41943</v>
      </c>
      <c r="C38" s="65" t="n">
        <v>13.1067</v>
      </c>
      <c r="D38" s="66" t="n">
        <v>8.8355</v>
      </c>
      <c r="E38" s="58">
        <f>C38/C26-1</f>
        <v/>
      </c>
      <c r="F38" s="58">
        <f>D38/D26-1</f>
        <v/>
      </c>
    </row>
    <row r="39">
      <c r="A39" s="55" t="inlineStr">
        <is>
          <t>2014-11</t>
        </is>
      </c>
      <c r="B39" s="56" t="n">
        <v>41971</v>
      </c>
      <c r="C39" s="65" t="n">
        <v>13.4967</v>
      </c>
      <c r="D39" s="66" t="n">
        <v>9.0985</v>
      </c>
      <c r="E39" s="58">
        <f>C39/C27-1</f>
        <v/>
      </c>
      <c r="F39" s="58">
        <f>D39/D27-1</f>
        <v/>
      </c>
    </row>
    <row r="40">
      <c r="A40" s="55" t="inlineStr">
        <is>
          <t>2014-12</t>
        </is>
      </c>
      <c r="B40" s="56" t="n">
        <v>42004</v>
      </c>
      <c r="C40" s="65" t="n">
        <v>13.2833</v>
      </c>
      <c r="D40" s="66" t="n">
        <v>9.0161</v>
      </c>
      <c r="E40" s="58">
        <f>C40/C28-1</f>
        <v/>
      </c>
      <c r="F40" s="58">
        <f>D40/D28-1</f>
        <v/>
      </c>
    </row>
    <row r="41">
      <c r="A41" s="55" t="inlineStr">
        <is>
          <t>2015-01</t>
        </is>
      </c>
      <c r="B41" s="56" t="n">
        <v>42034</v>
      </c>
      <c r="C41" s="65" t="n">
        <v>12.87</v>
      </c>
      <c r="D41" s="66" t="n">
        <v>8.7355</v>
      </c>
      <c r="E41" s="58">
        <f>C41/C29-1</f>
        <v/>
      </c>
      <c r="F41" s="58">
        <f>D41/D29-1</f>
        <v/>
      </c>
    </row>
    <row r="42">
      <c r="A42" s="55" t="inlineStr">
        <is>
          <t>2015-02</t>
        </is>
      </c>
      <c r="B42" s="56" t="n">
        <v>42062</v>
      </c>
      <c r="C42" s="65" t="n">
        <v>13.5433</v>
      </c>
      <c r="D42" s="66" t="n">
        <v>9.192600000000001</v>
      </c>
      <c r="E42" s="58">
        <f>C42/C30-1</f>
        <v/>
      </c>
      <c r="F42" s="58">
        <f>D42/D30-1</f>
        <v/>
      </c>
    </row>
    <row r="43">
      <c r="A43" s="55" t="inlineStr">
        <is>
          <t>2015-03</t>
        </is>
      </c>
      <c r="B43" s="56" t="n">
        <v>42094</v>
      </c>
      <c r="C43" s="65" t="n">
        <v>13.1367</v>
      </c>
      <c r="D43" s="66" t="n">
        <v>8.976900000000001</v>
      </c>
      <c r="E43" s="58">
        <f>C43/C31-1</f>
        <v/>
      </c>
      <c r="F43" s="58">
        <f>D43/D31-1</f>
        <v/>
      </c>
    </row>
    <row r="44">
      <c r="A44" s="55" t="inlineStr">
        <is>
          <t>2015-04</t>
        </is>
      </c>
      <c r="B44" s="56" t="n">
        <v>42124</v>
      </c>
      <c r="C44" s="65" t="n">
        <v>13.2367</v>
      </c>
      <c r="D44" s="66" t="n">
        <v>9.045199999999999</v>
      </c>
      <c r="E44" s="58">
        <f>C44/C32-1</f>
        <v/>
      </c>
      <c r="F44" s="58">
        <f>D44/D32-1</f>
        <v/>
      </c>
    </row>
    <row r="45">
      <c r="A45" s="55" t="inlineStr">
        <is>
          <t>2015-05</t>
        </is>
      </c>
      <c r="B45" s="56" t="n">
        <v>42153</v>
      </c>
      <c r="C45" s="65" t="n">
        <v>13.3033</v>
      </c>
      <c r="D45" s="66" t="n">
        <v>9.0908</v>
      </c>
      <c r="E45" s="58">
        <f>C45/C33-1</f>
        <v/>
      </c>
      <c r="F45" s="58">
        <f>D45/D33-1</f>
        <v/>
      </c>
    </row>
    <row r="46">
      <c r="A46" s="55" t="inlineStr">
        <is>
          <t>2015-06</t>
        </is>
      </c>
      <c r="B46" s="56" t="n">
        <v>42185</v>
      </c>
      <c r="C46" s="65" t="n">
        <v>12.7633</v>
      </c>
      <c r="D46" s="66" t="n">
        <v>8.7897</v>
      </c>
      <c r="E46" s="58">
        <f>C46/C34-1</f>
        <v/>
      </c>
      <c r="F46" s="58">
        <f>D46/D34-1</f>
        <v/>
      </c>
    </row>
    <row r="47">
      <c r="A47" s="55" t="inlineStr">
        <is>
          <t>2015-07</t>
        </is>
      </c>
      <c r="B47" s="56" t="n">
        <v>42216</v>
      </c>
      <c r="C47" s="65" t="n">
        <v>12.8533</v>
      </c>
      <c r="D47" s="66" t="n">
        <v>8.851699999999999</v>
      </c>
      <c r="E47" s="58">
        <f>C47/C35-1</f>
        <v/>
      </c>
      <c r="F47" s="58">
        <f>D47/D35-1</f>
        <v/>
      </c>
    </row>
    <row r="48">
      <c r="A48" s="55" t="inlineStr">
        <is>
          <t>2015-08</t>
        </is>
      </c>
      <c r="B48" s="56" t="n">
        <v>42247</v>
      </c>
      <c r="C48" s="65" t="n">
        <v>12.17</v>
      </c>
      <c r="D48" s="66" t="n">
        <v>8.3811</v>
      </c>
      <c r="E48" s="58">
        <f>C48/C36-1</f>
        <v/>
      </c>
      <c r="F48" s="58">
        <f>D48/D36-1</f>
        <v/>
      </c>
    </row>
    <row r="49">
      <c r="A49" s="55" t="inlineStr">
        <is>
          <t>2015-09</t>
        </is>
      </c>
      <c r="B49" s="56" t="n">
        <v>42277</v>
      </c>
      <c r="C49" s="65" t="n">
        <v>11.9833</v>
      </c>
      <c r="D49" s="66" t="n">
        <v>8.321099999999999</v>
      </c>
      <c r="E49" s="58">
        <f>C49/C37-1</f>
        <v/>
      </c>
      <c r="F49" s="58">
        <f>D49/D37-1</f>
        <v/>
      </c>
    </row>
    <row r="50">
      <c r="A50" s="55" t="inlineStr">
        <is>
          <t>2015-10</t>
        </is>
      </c>
      <c r="B50" s="56" t="n">
        <v>42307</v>
      </c>
      <c r="C50" s="65" t="n">
        <v>13.0333</v>
      </c>
      <c r="D50" s="66" t="n">
        <v>9.0502</v>
      </c>
      <c r="E50" s="58">
        <f>C50/C38-1</f>
        <v/>
      </c>
      <c r="F50" s="58">
        <f>D50/D38-1</f>
        <v/>
      </c>
    </row>
    <row r="51">
      <c r="A51" s="55" t="inlineStr">
        <is>
          <t>2015-11</t>
        </is>
      </c>
      <c r="B51" s="56" t="n">
        <v>42338</v>
      </c>
      <c r="C51" s="65" t="n">
        <v>13.07</v>
      </c>
      <c r="D51" s="66" t="n">
        <v>9.075699999999999</v>
      </c>
      <c r="E51" s="58">
        <f>C51/C39-1</f>
        <v/>
      </c>
      <c r="F51" s="58">
        <f>D51/D39-1</f>
        <v/>
      </c>
    </row>
    <row r="52">
      <c r="A52" s="55" t="inlineStr">
        <is>
          <t>2015-12</t>
        </is>
      </c>
      <c r="B52" s="56" t="n">
        <v>42369</v>
      </c>
      <c r="C52" s="65" t="n">
        <v>12.8533</v>
      </c>
      <c r="D52" s="66" t="n">
        <v>8.9894</v>
      </c>
      <c r="E52" s="58">
        <f>C52/C40-1</f>
        <v/>
      </c>
      <c r="F52" s="58">
        <f>D52/D40-1</f>
        <v/>
      </c>
    </row>
    <row r="53">
      <c r="A53" s="55" t="inlineStr">
        <is>
          <t>2016-01</t>
        </is>
      </c>
      <c r="B53" s="56" t="n">
        <v>42398</v>
      </c>
      <c r="C53" s="65" t="n">
        <v>12.56</v>
      </c>
      <c r="D53" s="66" t="n">
        <v>8.7842</v>
      </c>
      <c r="E53" s="58">
        <f>C53/C41-1</f>
        <v/>
      </c>
      <c r="F53" s="58">
        <f>D53/D41-1</f>
        <v/>
      </c>
    </row>
    <row r="54">
      <c r="A54" s="55" t="inlineStr">
        <is>
          <t>2016-02</t>
        </is>
      </c>
      <c r="B54" s="56" t="n">
        <v>42429</v>
      </c>
      <c r="C54" s="65" t="n">
        <v>12.6533</v>
      </c>
      <c r="D54" s="66" t="n">
        <v>8.849500000000001</v>
      </c>
      <c r="E54" s="58">
        <f>C54/C42-1</f>
        <v/>
      </c>
      <c r="F54" s="58">
        <f>D54/D42-1</f>
        <v/>
      </c>
    </row>
    <row r="55">
      <c r="A55" s="55" t="inlineStr">
        <is>
          <t>2016-03</t>
        </is>
      </c>
      <c r="B55" s="56" t="n">
        <v>42460</v>
      </c>
      <c r="C55" s="65" t="n">
        <v>13.3633</v>
      </c>
      <c r="D55" s="66" t="n">
        <v>9.415800000000001</v>
      </c>
      <c r="E55" s="58">
        <f>C55/C43-1</f>
        <v/>
      </c>
      <c r="F55" s="58">
        <f>D55/D43-1</f>
        <v/>
      </c>
    </row>
    <row r="56">
      <c r="A56" s="55" t="inlineStr">
        <is>
          <t>2016-04</t>
        </is>
      </c>
      <c r="B56" s="56" t="n">
        <v>42489</v>
      </c>
      <c r="C56" s="65" t="n">
        <v>13.34</v>
      </c>
      <c r="D56" s="66" t="n">
        <v>9.3993</v>
      </c>
      <c r="E56" s="58">
        <f>C56/C44-1</f>
        <v/>
      </c>
      <c r="F56" s="58">
        <f>D56/D44-1</f>
        <v/>
      </c>
    </row>
    <row r="57">
      <c r="A57" s="55" t="inlineStr">
        <is>
          <t>2016-05</t>
        </is>
      </c>
      <c r="B57" s="56" t="n">
        <v>42521</v>
      </c>
      <c r="C57" s="65" t="n">
        <v>13.5267</v>
      </c>
      <c r="D57" s="66" t="n">
        <v>9.530900000000001</v>
      </c>
      <c r="E57" s="58">
        <f>C57/C45-1</f>
        <v/>
      </c>
      <c r="F57" s="58">
        <f>D57/D45-1</f>
        <v/>
      </c>
    </row>
    <row r="58">
      <c r="A58" s="55" t="inlineStr">
        <is>
          <t>2016-06</t>
        </is>
      </c>
      <c r="B58" s="56" t="n">
        <v>42551</v>
      </c>
      <c r="C58" s="65" t="n">
        <v>13.8133</v>
      </c>
      <c r="D58" s="66" t="n">
        <v>9.8089</v>
      </c>
      <c r="E58" s="58">
        <f>C58/C46-1</f>
        <v/>
      </c>
      <c r="F58" s="58">
        <f>D58/D46-1</f>
        <v/>
      </c>
    </row>
    <row r="59">
      <c r="A59" s="55" t="inlineStr">
        <is>
          <t>2016-07</t>
        </is>
      </c>
      <c r="B59" s="56" t="n">
        <v>42580</v>
      </c>
      <c r="C59" s="65" t="n">
        <v>14.2067</v>
      </c>
      <c r="D59" s="66" t="n">
        <v>10.0882</v>
      </c>
      <c r="E59" s="58">
        <f>C59/C47-1</f>
        <v/>
      </c>
      <c r="F59" s="58">
        <f>D59/D47-1</f>
        <v/>
      </c>
    </row>
    <row r="60">
      <c r="A60" s="55" t="inlineStr">
        <is>
          <t>2016-08</t>
        </is>
      </c>
      <c r="B60" s="56" t="n">
        <v>42613</v>
      </c>
      <c r="C60" s="65" t="n">
        <v>14.16</v>
      </c>
      <c r="D60" s="66" t="n">
        <v>10.0551</v>
      </c>
      <c r="E60" s="58">
        <f>C60/C48-1</f>
        <v/>
      </c>
      <c r="F60" s="58">
        <f>D60/D48-1</f>
        <v/>
      </c>
    </row>
    <row r="61">
      <c r="A61" s="55" t="inlineStr">
        <is>
          <t>2016-09</t>
        </is>
      </c>
      <c r="B61" s="56" t="n">
        <v>42643</v>
      </c>
      <c r="C61" s="65" t="n">
        <v>14.1033</v>
      </c>
      <c r="D61" s="66" t="n">
        <v>10.0736</v>
      </c>
      <c r="E61" s="58">
        <f>C61/C49-1</f>
        <v/>
      </c>
      <c r="F61" s="58">
        <f>D61/D49-1</f>
        <v/>
      </c>
    </row>
    <row r="62">
      <c r="A62" s="55" t="inlineStr">
        <is>
          <t>2016-10</t>
        </is>
      </c>
      <c r="B62" s="56" t="n">
        <v>42674</v>
      </c>
      <c r="C62" s="65" t="n">
        <v>13.8833</v>
      </c>
      <c r="D62" s="66" t="n">
        <v>9.916399999999999</v>
      </c>
      <c r="E62" s="58">
        <f>C62/C50-1</f>
        <v/>
      </c>
      <c r="F62" s="58">
        <f>D62/D50-1</f>
        <v/>
      </c>
    </row>
    <row r="63">
      <c r="A63" s="55" t="inlineStr">
        <is>
          <t>2016-11</t>
        </is>
      </c>
      <c r="B63" s="56" t="n">
        <v>42704</v>
      </c>
      <c r="C63" s="65" t="n">
        <v>14.3367</v>
      </c>
      <c r="D63" s="66" t="n">
        <v>10.2402</v>
      </c>
      <c r="E63" s="58">
        <f>C63/C51-1</f>
        <v/>
      </c>
      <c r="F63" s="58">
        <f>D63/D51-1</f>
        <v/>
      </c>
    </row>
    <row r="64">
      <c r="A64" s="55" t="inlineStr">
        <is>
          <t>2016-12</t>
        </is>
      </c>
      <c r="B64" s="56" t="n">
        <v>42734</v>
      </c>
      <c r="C64" s="65" t="n">
        <v>14.5233</v>
      </c>
      <c r="D64" s="66" t="n">
        <v>10.468</v>
      </c>
      <c r="E64" s="58">
        <f>C64/C52-1</f>
        <v/>
      </c>
      <c r="F64" s="58">
        <f>D64/D52-1</f>
        <v/>
      </c>
    </row>
    <row r="65">
      <c r="A65" s="55" t="inlineStr">
        <is>
          <t>2017-01</t>
        </is>
      </c>
      <c r="B65" s="56" t="n">
        <v>42766</v>
      </c>
      <c r="C65" s="65" t="n">
        <v>14.4533</v>
      </c>
      <c r="D65" s="66" t="n">
        <v>10.4175</v>
      </c>
      <c r="E65" s="58">
        <f>C65/C53-1</f>
        <v/>
      </c>
      <c r="F65" s="58">
        <f>D65/D53-1</f>
        <v/>
      </c>
    </row>
    <row r="66">
      <c r="A66" s="55" t="inlineStr">
        <is>
          <t>2017-02</t>
        </is>
      </c>
      <c r="B66" s="56" t="n">
        <v>42794</v>
      </c>
      <c r="C66" s="65" t="n">
        <v>14.9467</v>
      </c>
      <c r="D66" s="66" t="n">
        <v>10.7731</v>
      </c>
      <c r="E66" s="58">
        <f>C66/C54-1</f>
        <v/>
      </c>
      <c r="F66" s="58">
        <f>D66/D54-1</f>
        <v/>
      </c>
    </row>
    <row r="67">
      <c r="A67" s="55" t="inlineStr">
        <is>
          <t>2017-03</t>
        </is>
      </c>
      <c r="B67" s="56" t="n">
        <v>42825</v>
      </c>
      <c r="C67" s="65" t="n">
        <v>14.86</v>
      </c>
      <c r="D67" s="66" t="n">
        <v>10.7884</v>
      </c>
      <c r="E67" s="58">
        <f>C67/C55-1</f>
        <v/>
      </c>
      <c r="F67" s="58">
        <f>D67/D55-1</f>
        <v/>
      </c>
    </row>
    <row r="68">
      <c r="A68" s="55" t="inlineStr">
        <is>
          <t>2017-04</t>
        </is>
      </c>
      <c r="B68" s="56" t="n">
        <v>42853</v>
      </c>
      <c r="C68" s="65" t="n">
        <v>14.8967</v>
      </c>
      <c r="D68" s="66" t="n">
        <v>10.815</v>
      </c>
      <c r="E68" s="58">
        <f>C68/C56-1</f>
        <v/>
      </c>
      <c r="F68" s="58">
        <f>D68/D56-1</f>
        <v/>
      </c>
    </row>
    <row r="69">
      <c r="A69" s="55" t="inlineStr">
        <is>
          <t>2017-05</t>
        </is>
      </c>
      <c r="B69" s="56" t="n">
        <v>42886</v>
      </c>
      <c r="C69" s="65" t="n">
        <v>15.1567</v>
      </c>
      <c r="D69" s="66" t="n">
        <v>11.0038</v>
      </c>
      <c r="E69" s="58">
        <f>C69/C57-1</f>
        <v/>
      </c>
      <c r="F69" s="58">
        <f>D69/D57-1</f>
        <v/>
      </c>
    </row>
    <row r="70">
      <c r="A70" s="55" t="inlineStr">
        <is>
          <t>2017-06</t>
        </is>
      </c>
      <c r="B70" s="56" t="n">
        <v>42916</v>
      </c>
      <c r="C70" s="65" t="n">
        <v>15.0333</v>
      </c>
      <c r="D70" s="66" t="n">
        <v>10.9933</v>
      </c>
      <c r="E70" s="58">
        <f>C70/C58-1</f>
        <v/>
      </c>
      <c r="F70" s="58">
        <f>D70/D58-1</f>
        <v/>
      </c>
    </row>
    <row r="71">
      <c r="A71" s="55" t="inlineStr">
        <is>
          <t>2017-07</t>
        </is>
      </c>
      <c r="B71" s="56" t="n">
        <v>42947</v>
      </c>
      <c r="C71" s="65" t="n">
        <v>15.2833</v>
      </c>
      <c r="D71" s="66" t="n">
        <v>11.1761</v>
      </c>
      <c r="E71" s="58">
        <f>C71/C59-1</f>
        <v/>
      </c>
      <c r="F71" s="58">
        <f>D71/D59-1</f>
        <v/>
      </c>
    </row>
    <row r="72">
      <c r="A72" s="55" t="inlineStr">
        <is>
          <t>2017-08</t>
        </is>
      </c>
      <c r="B72" s="56" t="n">
        <v>42978</v>
      </c>
      <c r="C72" s="65" t="n">
        <v>15.28</v>
      </c>
      <c r="D72" s="66" t="n">
        <v>11.1736</v>
      </c>
      <c r="E72" s="58">
        <f>C72/C60-1</f>
        <v/>
      </c>
      <c r="F72" s="58">
        <f>D72/D60-1</f>
        <v/>
      </c>
    </row>
    <row r="73">
      <c r="A73" s="55" t="inlineStr">
        <is>
          <t>2017-09</t>
        </is>
      </c>
      <c r="B73" s="56" t="n">
        <v>43007</v>
      </c>
      <c r="C73" s="65" t="n">
        <v>15.6</v>
      </c>
      <c r="D73" s="66" t="n">
        <v>11.4919</v>
      </c>
      <c r="E73" s="58">
        <f>C73/C61-1</f>
        <v/>
      </c>
      <c r="F73" s="58">
        <f>D73/D61-1</f>
        <v/>
      </c>
    </row>
    <row r="74">
      <c r="A74" s="55" t="inlineStr">
        <is>
          <t>2017-10</t>
        </is>
      </c>
      <c r="B74" s="56" t="n">
        <v>43039</v>
      </c>
      <c r="C74" s="65" t="n">
        <v>16.1633</v>
      </c>
      <c r="D74" s="66" t="n">
        <v>11.9069</v>
      </c>
      <c r="E74" s="58">
        <f>C74/C62-1</f>
        <v/>
      </c>
      <c r="F74" s="58">
        <f>D74/D62-1</f>
        <v/>
      </c>
    </row>
    <row r="75">
      <c r="A75" s="55" t="inlineStr">
        <is>
          <t>2017-11</t>
        </is>
      </c>
      <c r="B75" s="56" t="n">
        <v>43069</v>
      </c>
      <c r="C75" s="65" t="n">
        <v>16.8433</v>
      </c>
      <c r="D75" s="66" t="n">
        <v>12.4078</v>
      </c>
      <c r="E75" s="58">
        <f>C75/C63-1</f>
        <v/>
      </c>
      <c r="F75" s="58">
        <f>D75/D63-1</f>
        <v/>
      </c>
    </row>
    <row r="76">
      <c r="A76" s="55" t="inlineStr">
        <is>
          <t>2017-12</t>
        </is>
      </c>
      <c r="B76" s="56" t="n">
        <v>43098</v>
      </c>
      <c r="C76" s="65" t="n">
        <v>17.0567</v>
      </c>
      <c r="D76" s="66" t="n">
        <v>12.6502</v>
      </c>
      <c r="E76" s="58">
        <f>C76/C64-1</f>
        <v/>
      </c>
      <c r="F76" s="58">
        <f>D76/D64-1</f>
        <v/>
      </c>
    </row>
    <row r="77">
      <c r="A77" s="55" t="inlineStr">
        <is>
          <t>2018-01</t>
        </is>
      </c>
      <c r="B77" s="56" t="n">
        <v>43131</v>
      </c>
      <c r="C77" s="65" t="n">
        <v>17.8333</v>
      </c>
      <c r="D77" s="66" t="n">
        <v>13.2263</v>
      </c>
      <c r="E77" s="58">
        <f>C77/C65-1</f>
        <v/>
      </c>
      <c r="F77" s="58">
        <f>D77/D65-1</f>
        <v/>
      </c>
    </row>
    <row r="78">
      <c r="A78" s="55" t="inlineStr">
        <is>
          <t>2018-02</t>
        </is>
      </c>
      <c r="B78" s="56" t="n">
        <v>43159</v>
      </c>
      <c r="C78" s="65" t="n">
        <v>16.83</v>
      </c>
      <c r="D78" s="66" t="n">
        <v>12.4821</v>
      </c>
      <c r="E78" s="58">
        <f>C78/C66-1</f>
        <v/>
      </c>
      <c r="F78" s="58">
        <f>D78/D66-1</f>
        <v/>
      </c>
    </row>
    <row r="79">
      <c r="A79" s="55" t="inlineStr">
        <is>
          <t>2018-03</t>
        </is>
      </c>
      <c r="B79" s="56" t="n">
        <v>43188</v>
      </c>
      <c r="C79" s="65" t="n">
        <v>16.3433</v>
      </c>
      <c r="D79" s="66" t="n">
        <v>12.1845</v>
      </c>
      <c r="E79" s="58">
        <f>C79/C67-1</f>
        <v/>
      </c>
      <c r="F79" s="58">
        <f>D79/D67-1</f>
        <v/>
      </c>
    </row>
    <row r="80">
      <c r="A80" s="55" t="inlineStr">
        <is>
          <t>2018-04</t>
        </is>
      </c>
      <c r="B80" s="56" t="n">
        <v>43220</v>
      </c>
      <c r="C80" s="65" t="n">
        <v>16.16</v>
      </c>
      <c r="D80" s="66" t="n">
        <v>12.0478</v>
      </c>
      <c r="E80" s="58">
        <f>C80/C68-1</f>
        <v/>
      </c>
      <c r="F80" s="58">
        <f>D80/D68-1</f>
        <v/>
      </c>
    </row>
    <row r="81">
      <c r="A81" s="55" t="inlineStr">
        <is>
          <t>2018-05</t>
        </is>
      </c>
      <c r="B81" s="56" t="n">
        <v>43251</v>
      </c>
      <c r="C81" s="65" t="n">
        <v>16.45</v>
      </c>
      <c r="D81" s="66" t="n">
        <v>12.264</v>
      </c>
      <c r="E81" s="58">
        <f>C81/C69-1</f>
        <v/>
      </c>
      <c r="F81" s="58">
        <f>D81/D69-1</f>
        <v/>
      </c>
    </row>
    <row r="82">
      <c r="A82" s="55" t="inlineStr">
        <is>
          <t>2018-06</t>
        </is>
      </c>
      <c r="B82" s="56" t="n">
        <v>43280</v>
      </c>
      <c r="C82" s="65" t="n">
        <v>16.43</v>
      </c>
      <c r="D82" s="66" t="n">
        <v>12.3494</v>
      </c>
      <c r="E82" s="58">
        <f>C82/C70-1</f>
        <v/>
      </c>
      <c r="F82" s="58">
        <f>D82/D70-1</f>
        <v/>
      </c>
    </row>
    <row r="83">
      <c r="A83" s="55" t="inlineStr">
        <is>
          <t>2018-07</t>
        </is>
      </c>
      <c r="B83" s="56" t="n">
        <v>43312</v>
      </c>
      <c r="C83" s="65" t="n">
        <v>17.1767</v>
      </c>
      <c r="D83" s="66" t="n">
        <v>12.9106</v>
      </c>
      <c r="E83" s="58">
        <f>C83/C71-1</f>
        <v/>
      </c>
      <c r="F83" s="58">
        <f>D83/D71-1</f>
        <v/>
      </c>
    </row>
    <row r="84">
      <c r="A84" s="55" t="inlineStr">
        <is>
          <t>2018-08</t>
        </is>
      </c>
      <c r="B84" s="56" t="n">
        <v>43343</v>
      </c>
      <c r="C84" s="65" t="n">
        <v>17.57</v>
      </c>
      <c r="D84" s="66" t="n">
        <v>13.2063</v>
      </c>
      <c r="E84" s="58">
        <f>C84/C72-1</f>
        <v/>
      </c>
      <c r="F84" s="58">
        <f>D84/D72-1</f>
        <v/>
      </c>
    </row>
    <row r="85">
      <c r="A85" s="55" t="inlineStr">
        <is>
          <t>2018-09</t>
        </is>
      </c>
      <c r="B85" s="56" t="n">
        <v>43371</v>
      </c>
      <c r="C85" s="65" t="n">
        <v>17.6667</v>
      </c>
      <c r="D85" s="66" t="n">
        <v>13.3703</v>
      </c>
      <c r="E85" s="58">
        <f>C85/C73-1</f>
        <v/>
      </c>
      <c r="F85" s="58">
        <f>D85/D73-1</f>
        <v/>
      </c>
    </row>
    <row r="86">
      <c r="A86" s="55" t="inlineStr">
        <is>
          <t>2018-10</t>
        </is>
      </c>
      <c r="B86" s="56" t="n">
        <v>43404</v>
      </c>
      <c r="C86" s="65" t="n">
        <v>16.6233</v>
      </c>
      <c r="D86" s="66" t="n">
        <v>12.5807</v>
      </c>
      <c r="E86" s="58">
        <f>C86/C74-1</f>
        <v/>
      </c>
      <c r="F86" s="58">
        <f>D86/D74-1</f>
        <v/>
      </c>
    </row>
    <row r="87">
      <c r="A87" s="55" t="inlineStr">
        <is>
          <t>2018-11</t>
        </is>
      </c>
      <c r="B87" s="56" t="n">
        <v>43434</v>
      </c>
      <c r="C87" s="65" t="n">
        <v>17.1833</v>
      </c>
      <c r="D87" s="66" t="n">
        <v>13.0045</v>
      </c>
      <c r="E87" s="58">
        <f>C87/C75-1</f>
        <v/>
      </c>
      <c r="F87" s="58">
        <f>D87/D75-1</f>
        <v/>
      </c>
    </row>
    <row r="88">
      <c r="A88" s="55" t="inlineStr">
        <is>
          <t>2018-12</t>
        </is>
      </c>
      <c r="B88" s="56" t="n">
        <v>43465</v>
      </c>
      <c r="C88" s="65" t="n">
        <v>15.6567</v>
      </c>
      <c r="D88" s="66" t="n">
        <v>11.9471</v>
      </c>
      <c r="E88" s="58">
        <f>C88/C76-1</f>
        <v/>
      </c>
      <c r="F88" s="58">
        <f>D88/D76-1</f>
        <v/>
      </c>
    </row>
    <row r="89">
      <c r="A89" s="55" t="inlineStr">
        <is>
          <t>2019-01</t>
        </is>
      </c>
      <c r="B89" s="56" t="n">
        <v>43496</v>
      </c>
      <c r="C89" s="65" t="n">
        <v>16.6033</v>
      </c>
      <c r="D89" s="66" t="n">
        <v>12.6694</v>
      </c>
      <c r="E89" s="58">
        <f>C89/C77-1</f>
        <v/>
      </c>
      <c r="F89" s="58">
        <f>D89/D77-1</f>
        <v/>
      </c>
    </row>
    <row r="90">
      <c r="A90" s="55" t="inlineStr">
        <is>
          <t>2019-02</t>
        </is>
      </c>
      <c r="B90" s="56" t="n">
        <v>43524</v>
      </c>
      <c r="C90" s="65" t="n">
        <v>17.2767</v>
      </c>
      <c r="D90" s="66" t="n">
        <v>13.1832</v>
      </c>
      <c r="E90" s="58">
        <f>C90/C78-1</f>
        <v/>
      </c>
      <c r="F90" s="58">
        <f>D90/D78-1</f>
        <v/>
      </c>
    </row>
    <row r="91">
      <c r="A91" s="55" t="inlineStr">
        <is>
          <t>2019-03</t>
        </is>
      </c>
      <c r="B91" s="56" t="n">
        <v>43553</v>
      </c>
      <c r="C91" s="65" t="n">
        <v>17.4267</v>
      </c>
      <c r="D91" s="66" t="n">
        <v>13.3875</v>
      </c>
      <c r="E91" s="58">
        <f>C91/C79-1</f>
        <v/>
      </c>
      <c r="F91" s="58">
        <f>D91/D79-1</f>
        <v/>
      </c>
    </row>
    <row r="92">
      <c r="A92" s="55" t="inlineStr">
        <is>
          <t>2019-04</t>
        </is>
      </c>
      <c r="B92" s="56" t="n">
        <v>43585</v>
      </c>
      <c r="C92" s="65" t="n">
        <v>17.9867</v>
      </c>
      <c r="D92" s="66" t="n">
        <v>13.8177</v>
      </c>
      <c r="E92" s="58">
        <f>C92/C80-1</f>
        <v/>
      </c>
      <c r="F92" s="58">
        <f>D92/D80-1</f>
        <v/>
      </c>
    </row>
    <row r="93">
      <c r="A93" s="55" t="inlineStr">
        <is>
          <t>2019-05</t>
        </is>
      </c>
      <c r="B93" s="56" t="n">
        <v>43616</v>
      </c>
      <c r="C93" s="65" t="n">
        <v>16.62</v>
      </c>
      <c r="D93" s="66" t="n">
        <v>12.7678</v>
      </c>
      <c r="E93" s="58">
        <f>C93/C81-1</f>
        <v/>
      </c>
      <c r="F93" s="58">
        <f>D93/D81-1</f>
        <v/>
      </c>
    </row>
    <row r="94">
      <c r="A94" s="55" t="inlineStr">
        <is>
          <t>2019-06</t>
        </is>
      </c>
      <c r="B94" s="56" t="n">
        <v>43644</v>
      </c>
      <c r="C94" s="65" t="n">
        <v>17.69</v>
      </c>
      <c r="D94" s="66" t="n">
        <v>13.6983</v>
      </c>
      <c r="E94" s="58">
        <f>C94/C82-1</f>
        <v/>
      </c>
      <c r="F94" s="58">
        <f>D94/D82-1</f>
        <v/>
      </c>
    </row>
    <row r="95">
      <c r="A95" s="55" t="inlineStr">
        <is>
          <t>2019-07</t>
        </is>
      </c>
      <c r="B95" s="56" t="n">
        <v>43677</v>
      </c>
      <c r="C95" s="65" t="n">
        <v>17.9833</v>
      </c>
      <c r="D95" s="66" t="n">
        <v>13.9255</v>
      </c>
      <c r="E95" s="58">
        <f>C95/C83-1</f>
        <v/>
      </c>
      <c r="F95" s="58">
        <f>D95/D83-1</f>
        <v/>
      </c>
    </row>
    <row r="96">
      <c r="A96" s="55" t="inlineStr">
        <is>
          <t>2019-08</t>
        </is>
      </c>
      <c r="B96" s="56" t="n">
        <v>43707</v>
      </c>
      <c r="C96" s="65" t="n">
        <v>17.75</v>
      </c>
      <c r="D96" s="66" t="n">
        <v>13.7448</v>
      </c>
      <c r="E96" s="58">
        <f>C96/C84-1</f>
        <v/>
      </c>
      <c r="F96" s="58">
        <f>D96/D84-1</f>
        <v/>
      </c>
    </row>
    <row r="97">
      <c r="A97" s="55" t="inlineStr">
        <is>
          <t>2019-09</t>
        </is>
      </c>
      <c r="B97" s="56" t="n">
        <v>43738</v>
      </c>
      <c r="C97" s="65" t="n">
        <v>18.26</v>
      </c>
      <c r="D97" s="66" t="n">
        <v>14.2666</v>
      </c>
      <c r="E97" s="58">
        <f>C97/C85-1</f>
        <v/>
      </c>
      <c r="F97" s="58">
        <f>D97/D85-1</f>
        <v/>
      </c>
    </row>
    <row r="98">
      <c r="A98" s="55" t="inlineStr">
        <is>
          <t>2019-10</t>
        </is>
      </c>
      <c r="B98" s="56" t="n">
        <v>43769</v>
      </c>
      <c r="C98" s="65" t="n">
        <v>18.5067</v>
      </c>
      <c r="D98" s="66" t="n">
        <v>14.4594</v>
      </c>
      <c r="E98" s="58">
        <f>C98/C86-1</f>
        <v/>
      </c>
      <c r="F98" s="58">
        <f>D98/D86-1</f>
        <v/>
      </c>
    </row>
    <row r="99">
      <c r="A99" s="55" t="inlineStr">
        <is>
          <t>2019-11</t>
        </is>
      </c>
      <c r="B99" s="56" t="n">
        <v>43798</v>
      </c>
      <c r="C99" s="65" t="n">
        <v>19.03</v>
      </c>
      <c r="D99" s="66" t="n">
        <v>14.8682</v>
      </c>
      <c r="E99" s="58">
        <f>C99/C87-1</f>
        <v/>
      </c>
      <c r="F99" s="58">
        <f>D99/D87-1</f>
        <v/>
      </c>
    </row>
    <row r="100">
      <c r="A100" s="55" t="inlineStr">
        <is>
          <t>2019-12</t>
        </is>
      </c>
      <c r="B100" s="56" t="n">
        <v>43830</v>
      </c>
      <c r="C100" s="65" t="n">
        <v>19.3067</v>
      </c>
      <c r="D100" s="66" t="n">
        <v>15.2078</v>
      </c>
      <c r="E100" s="58">
        <f>C100/C88-1</f>
        <v/>
      </c>
      <c r="F100" s="58">
        <f>D100/D88-1</f>
        <v/>
      </c>
    </row>
    <row r="101">
      <c r="A101" s="55" t="inlineStr">
        <is>
          <t>2020-01</t>
        </is>
      </c>
      <c r="B101" s="56" t="n">
        <v>43861</v>
      </c>
      <c r="C101" s="65" t="n">
        <v>18.9667</v>
      </c>
      <c r="D101" s="66" t="n">
        <v>14.94</v>
      </c>
      <c r="E101" s="58">
        <f>C101/C89-1</f>
        <v/>
      </c>
      <c r="F101" s="58">
        <f>D101/D89-1</f>
        <v/>
      </c>
    </row>
    <row r="102">
      <c r="A102" s="55" t="inlineStr">
        <is>
          <t>2020-02</t>
        </is>
      </c>
      <c r="B102" s="56" t="n">
        <v>43889</v>
      </c>
      <c r="C102" s="65" t="n">
        <v>17.1933</v>
      </c>
      <c r="D102" s="66" t="n">
        <v>13.5432</v>
      </c>
      <c r="E102" s="58">
        <f>C102/C90-1</f>
        <v/>
      </c>
      <c r="F102" s="58">
        <f>D102/D90-1</f>
        <v/>
      </c>
    </row>
    <row r="103">
      <c r="A103" s="55" t="inlineStr">
        <is>
          <t>2020-03</t>
        </is>
      </c>
      <c r="B103" s="56" t="n">
        <v>43921</v>
      </c>
      <c r="C103" s="65" t="n">
        <v>14.9933</v>
      </c>
      <c r="D103" s="66" t="n">
        <v>11.9339</v>
      </c>
      <c r="E103" s="58">
        <f>C103/C91-1</f>
        <v/>
      </c>
      <c r="F103" s="58">
        <f>D103/D91-1</f>
        <v/>
      </c>
    </row>
    <row r="104">
      <c r="A104" s="55" t="inlineStr">
        <is>
          <t>2020-04</t>
        </is>
      </c>
      <c r="B104" s="56" t="n">
        <v>43951</v>
      </c>
      <c r="C104" s="65" t="n">
        <v>16.8833</v>
      </c>
      <c r="D104" s="66" t="n">
        <v>13.4382</v>
      </c>
      <c r="E104" s="58">
        <f>C104/C92-1</f>
        <v/>
      </c>
      <c r="F104" s="58">
        <f>D104/D92-1</f>
        <v/>
      </c>
    </row>
    <row r="105">
      <c r="A105" s="55" t="inlineStr">
        <is>
          <t>2020-05</t>
        </is>
      </c>
      <c r="B105" s="56" t="n">
        <v>43980</v>
      </c>
      <c r="C105" s="65" t="n">
        <v>17.5067</v>
      </c>
      <c r="D105" s="66" t="n">
        <v>13.9343</v>
      </c>
      <c r="E105" s="58">
        <f>C105/C93-1</f>
        <v/>
      </c>
      <c r="F105" s="58">
        <f>D105/D93-1</f>
        <v/>
      </c>
    </row>
    <row r="106">
      <c r="A106" s="55" t="inlineStr">
        <is>
          <t>2020-06</t>
        </is>
      </c>
      <c r="B106" s="56" t="n">
        <v>44012</v>
      </c>
      <c r="C106" s="65" t="n">
        <v>17.25</v>
      </c>
      <c r="D106" s="66" t="n">
        <v>13.846</v>
      </c>
      <c r="E106" s="58">
        <f>C106/C94-1</f>
        <v/>
      </c>
      <c r="F106" s="58">
        <f>D106/D94-1</f>
        <v/>
      </c>
    </row>
    <row r="107">
      <c r="A107" s="55" t="inlineStr">
        <is>
          <t>2020-07</t>
        </is>
      </c>
      <c r="B107" s="56" t="n">
        <v>44043</v>
      </c>
      <c r="C107" s="65" t="n">
        <v>18.1633</v>
      </c>
      <c r="D107" s="66" t="n">
        <v>14.5791</v>
      </c>
      <c r="E107" s="58">
        <f>C107/C95-1</f>
        <v/>
      </c>
      <c r="F107" s="58">
        <f>D107/D95-1</f>
        <v/>
      </c>
    </row>
    <row r="108">
      <c r="A108" s="55" t="inlineStr">
        <is>
          <t>2020-08</t>
        </is>
      </c>
      <c r="B108" s="56" t="n">
        <v>44074</v>
      </c>
      <c r="C108" s="65" t="n">
        <v>19.0933</v>
      </c>
      <c r="D108" s="66" t="n">
        <v>15.3255</v>
      </c>
      <c r="E108" s="58">
        <f>C108/C96-1</f>
        <v/>
      </c>
      <c r="F108" s="58">
        <f>D108/D96-1</f>
        <v/>
      </c>
    </row>
    <row r="109">
      <c r="A109" s="55" t="inlineStr">
        <is>
          <t>2020-09</t>
        </is>
      </c>
      <c r="B109" s="56" t="n">
        <v>44104</v>
      </c>
      <c r="C109" s="65" t="n">
        <v>18.4333</v>
      </c>
      <c r="D109" s="66" t="n">
        <v>14.9429</v>
      </c>
      <c r="E109" s="58">
        <f>C109/C97-1</f>
        <v/>
      </c>
      <c r="F109" s="58">
        <f>D109/D97-1</f>
        <v/>
      </c>
    </row>
    <row r="110">
      <c r="A110" s="55" t="inlineStr">
        <is>
          <t>2020-10</t>
        </is>
      </c>
      <c r="B110" s="56" t="n">
        <v>44134</v>
      </c>
      <c r="C110" s="65" t="n">
        <v>18.5033</v>
      </c>
      <c r="D110" s="66" t="n">
        <v>14.9997</v>
      </c>
      <c r="E110" s="58">
        <f>C110/C98-1</f>
        <v/>
      </c>
      <c r="F110" s="58">
        <f>D110/D98-1</f>
        <v/>
      </c>
    </row>
    <row r="111">
      <c r="A111" s="55" t="inlineStr">
        <is>
          <t>2020-11</t>
        </is>
      </c>
      <c r="B111" s="56" t="n">
        <v>44165</v>
      </c>
      <c r="C111" s="65" t="n">
        <v>20.94</v>
      </c>
      <c r="D111" s="66" t="n">
        <v>16.975</v>
      </c>
      <c r="E111" s="58">
        <f>C111/C99-1</f>
        <v/>
      </c>
      <c r="F111" s="58">
        <f>D111/D99-1</f>
        <v/>
      </c>
    </row>
    <row r="112">
      <c r="A112" s="55" t="inlineStr">
        <is>
          <t>2020-12</t>
        </is>
      </c>
      <c r="B112" s="56" t="n">
        <v>44196</v>
      </c>
      <c r="C112" s="65" t="n">
        <v>21.38</v>
      </c>
      <c r="D112" s="66" t="n">
        <v>17.4933</v>
      </c>
      <c r="E112" s="58">
        <f>C112/C100-1</f>
        <v/>
      </c>
      <c r="F112" s="58">
        <f>D112/D100-1</f>
        <v/>
      </c>
    </row>
    <row r="113">
      <c r="A113" s="55" t="inlineStr">
        <is>
          <t>2021-01</t>
        </is>
      </c>
      <c r="B113" s="56" t="n">
        <v>44225</v>
      </c>
      <c r="C113" s="65" t="n">
        <v>21.1867</v>
      </c>
      <c r="D113" s="66" t="n">
        <v>17.3351</v>
      </c>
      <c r="E113" s="58">
        <f>C113/C101-1</f>
        <v/>
      </c>
      <c r="F113" s="58">
        <f>D113/D101-1</f>
        <v/>
      </c>
    </row>
    <row r="114">
      <c r="A114" s="55" t="inlineStr">
        <is>
          <t>2021-02</t>
        </is>
      </c>
      <c r="B114" s="56" t="n">
        <v>44253</v>
      </c>
      <c r="C114" s="65" t="n">
        <v>22.47</v>
      </c>
      <c r="D114" s="66" t="n">
        <v>18.3851</v>
      </c>
      <c r="E114" s="58">
        <f>C114/C102-1</f>
        <v/>
      </c>
      <c r="F114" s="58">
        <f>D114/D102-1</f>
        <v/>
      </c>
    </row>
    <row r="115">
      <c r="A115" s="55" t="inlineStr">
        <is>
          <t>2021-03</t>
        </is>
      </c>
      <c r="B115" s="56" t="n">
        <v>44286</v>
      </c>
      <c r="C115" s="65" t="n">
        <v>24.3067</v>
      </c>
      <c r="D115" s="66" t="n">
        <v>20.0289</v>
      </c>
      <c r="E115" s="58">
        <f>C115/C103-1</f>
        <v/>
      </c>
      <c r="F115" s="58">
        <f>D115/D103-1</f>
        <v/>
      </c>
    </row>
    <row r="116">
      <c r="A116" s="55" t="inlineStr">
        <is>
          <t>2021-04</t>
        </is>
      </c>
      <c r="B116" s="56" t="n">
        <v>44316</v>
      </c>
      <c r="C116" s="65" t="n">
        <v>24.8433</v>
      </c>
      <c r="D116" s="66" t="n">
        <v>20.4711</v>
      </c>
      <c r="E116" s="58">
        <f>C116/C104-1</f>
        <v/>
      </c>
      <c r="F116" s="58">
        <f>D116/D104-1</f>
        <v/>
      </c>
    </row>
    <row r="117">
      <c r="A117" s="55" t="inlineStr">
        <is>
          <t>2021-05</t>
        </is>
      </c>
      <c r="B117" s="56" t="n">
        <v>44344</v>
      </c>
      <c r="C117" s="65" t="n">
        <v>25.6433</v>
      </c>
      <c r="D117" s="66" t="n">
        <v>21.1303</v>
      </c>
      <c r="E117" s="58">
        <f>C117/C105-1</f>
        <v/>
      </c>
      <c r="F117" s="58">
        <f>D117/D105-1</f>
        <v/>
      </c>
    </row>
    <row r="118">
      <c r="A118" s="55" t="inlineStr">
        <is>
          <t>2021-06</t>
        </is>
      </c>
      <c r="B118" s="56" t="n">
        <v>44377</v>
      </c>
      <c r="C118" s="65" t="n">
        <v>25.2067</v>
      </c>
      <c r="D118" s="66" t="n">
        <v>20.9203</v>
      </c>
      <c r="E118" s="58">
        <f>C118/C106-1</f>
        <v/>
      </c>
      <c r="F118" s="58">
        <f>D118/D106-1</f>
        <v/>
      </c>
    </row>
    <row r="119">
      <c r="A119" s="55" t="inlineStr">
        <is>
          <t>2021-07</t>
        </is>
      </c>
      <c r="B119" s="56" t="n">
        <v>44407</v>
      </c>
      <c r="C119" s="65" t="n">
        <v>25.37</v>
      </c>
      <c r="D119" s="66" t="n">
        <v>21.0559</v>
      </c>
      <c r="E119" s="58">
        <f>C119/C107-1</f>
        <v/>
      </c>
      <c r="F119" s="58">
        <f>D119/D107-1</f>
        <v/>
      </c>
    </row>
    <row r="120">
      <c r="A120" s="55" t="inlineStr">
        <is>
          <t>2021-08</t>
        </is>
      </c>
      <c r="B120" s="56" t="n">
        <v>44439</v>
      </c>
      <c r="C120" s="65" t="n">
        <v>25.9</v>
      </c>
      <c r="D120" s="66" t="n">
        <v>21.4958</v>
      </c>
      <c r="E120" s="58">
        <f>C120/C108-1</f>
        <v/>
      </c>
      <c r="F120" s="58">
        <f>D120/D108-1</f>
        <v/>
      </c>
    </row>
    <row r="121">
      <c r="A121" s="55" t="inlineStr">
        <is>
          <t>2021-09</t>
        </is>
      </c>
      <c r="B121" s="56" t="n">
        <v>44469</v>
      </c>
      <c r="C121" s="65" t="n">
        <v>24.7467</v>
      </c>
      <c r="D121" s="66" t="n">
        <v>20.7023</v>
      </c>
      <c r="E121" s="58">
        <f>C121/C109-1</f>
        <v/>
      </c>
      <c r="F121" s="58">
        <f>D121/D109-1</f>
        <v/>
      </c>
    </row>
    <row r="122">
      <c r="A122" s="55" t="inlineStr">
        <is>
          <t>2021-10</t>
        </is>
      </c>
      <c r="B122" s="56" t="n">
        <v>44498</v>
      </c>
      <c r="C122" s="65" t="n">
        <v>25.8367</v>
      </c>
      <c r="D122" s="66" t="n">
        <v>21.6141</v>
      </c>
      <c r="E122" s="58">
        <f>C122/C110-1</f>
        <v/>
      </c>
      <c r="F122" s="58">
        <f>D122/D110-1</f>
        <v/>
      </c>
    </row>
    <row r="123">
      <c r="A123" s="55" t="inlineStr">
        <is>
          <t>2021-11</t>
        </is>
      </c>
      <c r="B123" s="56" t="n">
        <v>44530</v>
      </c>
      <c r="C123" s="65" t="n">
        <v>25.3067</v>
      </c>
      <c r="D123" s="66" t="n">
        <v>21.1707</v>
      </c>
      <c r="E123" s="58">
        <f>C123/C111-1</f>
        <v/>
      </c>
      <c r="F123" s="58">
        <f>D123/D111-1</f>
        <v/>
      </c>
    </row>
    <row r="124">
      <c r="A124" s="55" t="inlineStr">
        <is>
          <t>2021-12</t>
        </is>
      </c>
      <c r="B124" s="56" t="n">
        <v>44561</v>
      </c>
      <c r="C124" s="65" t="n">
        <v>26.9433</v>
      </c>
      <c r="D124" s="66" t="n">
        <v>22.7195</v>
      </c>
      <c r="E124" s="58">
        <f>C124/C112-1</f>
        <v/>
      </c>
      <c r="F124" s="58">
        <f>D124/D112-1</f>
        <v/>
      </c>
    </row>
    <row r="125">
      <c r="A125" s="55" t="inlineStr">
        <is>
          <t>2022-01</t>
        </is>
      </c>
      <c r="B125" s="56" t="n">
        <v>44592</v>
      </c>
      <c r="C125" s="65" t="n">
        <v>26.2067</v>
      </c>
      <c r="D125" s="66" t="n">
        <v>22.0983</v>
      </c>
      <c r="E125" s="58">
        <f>C125/C113-1</f>
        <v/>
      </c>
      <c r="F125" s="58">
        <f>D125/D113-1</f>
        <v/>
      </c>
    </row>
    <row r="126">
      <c r="A126" s="55" t="inlineStr">
        <is>
          <t>2022-02</t>
        </is>
      </c>
      <c r="B126" s="56" t="n">
        <v>44620</v>
      </c>
      <c r="C126" s="65" t="n">
        <v>25.7</v>
      </c>
      <c r="D126" s="66" t="n">
        <v>21.6711</v>
      </c>
      <c r="E126" s="58">
        <f>C126/C114-1</f>
        <v/>
      </c>
      <c r="F126" s="58">
        <f>D126/D114-1</f>
        <v/>
      </c>
    </row>
    <row r="127">
      <c r="A127" s="55" t="inlineStr">
        <is>
          <t>2022-03</t>
        </is>
      </c>
      <c r="B127" s="56" t="n">
        <v>44651</v>
      </c>
      <c r="C127" s="65" t="n">
        <v>26.2967</v>
      </c>
      <c r="D127" s="66" t="n">
        <v>22.3198</v>
      </c>
      <c r="E127" s="58">
        <f>C127/C115-1</f>
        <v/>
      </c>
      <c r="F127" s="58">
        <f>D127/D115-1</f>
        <v/>
      </c>
    </row>
    <row r="128">
      <c r="A128" s="55" t="inlineStr">
        <is>
          <t>2022-04</t>
        </is>
      </c>
      <c r="B128" s="56" t="n">
        <v>44680</v>
      </c>
      <c r="C128" s="65" t="n">
        <v>25.2133</v>
      </c>
      <c r="D128" s="66" t="n">
        <v>21.4003</v>
      </c>
      <c r="E128" s="58">
        <f>C128/C116-1</f>
        <v/>
      </c>
      <c r="F128" s="58">
        <f>D128/D116-1</f>
        <v/>
      </c>
    </row>
    <row r="129">
      <c r="A129" s="55" t="inlineStr">
        <is>
          <t>2022-05</t>
        </is>
      </c>
      <c r="B129" s="56" t="n">
        <v>44712</v>
      </c>
      <c r="C129" s="65" t="n">
        <v>26.1967</v>
      </c>
      <c r="D129" s="66" t="n">
        <v>22.2349</v>
      </c>
      <c r="E129" s="58">
        <f>C129/C117-1</f>
        <v/>
      </c>
      <c r="F129" s="58">
        <f>D129/D117-1</f>
        <v/>
      </c>
    </row>
    <row r="130">
      <c r="A130" s="55" t="inlineStr">
        <is>
          <t>2022-06</t>
        </is>
      </c>
      <c r="B130" s="56" t="n">
        <v>44742</v>
      </c>
      <c r="C130" s="65" t="n">
        <v>23.8767</v>
      </c>
      <c r="D130" s="66" t="n">
        <v>20.4659</v>
      </c>
      <c r="E130" s="58">
        <f>C130/C118-1</f>
        <v/>
      </c>
      <c r="F130" s="58">
        <f>D130/D118-1</f>
        <v/>
      </c>
    </row>
    <row r="131">
      <c r="A131" s="55" t="inlineStr">
        <is>
          <t>2022-07</t>
        </is>
      </c>
      <c r="B131" s="56" t="n">
        <v>44771</v>
      </c>
      <c r="C131" s="65" t="n">
        <v>24.81</v>
      </c>
      <c r="D131" s="66" t="n">
        <v>21.266</v>
      </c>
      <c r="E131" s="58">
        <f>C131/C119-1</f>
        <v/>
      </c>
      <c r="F131" s="58">
        <f>D131/D119-1</f>
        <v/>
      </c>
    </row>
    <row r="132">
      <c r="A132" s="55" t="inlineStr">
        <is>
          <t>2022-08</t>
        </is>
      </c>
      <c r="B132" s="56" t="n">
        <v>44804</v>
      </c>
      <c r="C132" s="65" t="n">
        <v>24.1333</v>
      </c>
      <c r="D132" s="66" t="n">
        <v>20.6859</v>
      </c>
      <c r="E132" s="58">
        <f>C132/C120-1</f>
        <v/>
      </c>
      <c r="F132" s="58">
        <f>D132/D120-1</f>
        <v/>
      </c>
    </row>
    <row r="133">
      <c r="A133" s="55" t="inlineStr">
        <is>
          <t>2022-09</t>
        </is>
      </c>
      <c r="B133" s="56" t="n">
        <v>44834</v>
      </c>
      <c r="C133" s="65" t="n">
        <v>22.1433</v>
      </c>
      <c r="D133" s="66" t="n">
        <v>19.152</v>
      </c>
      <c r="E133" s="58">
        <f>C133/C121-1</f>
        <v/>
      </c>
      <c r="F133" s="58">
        <f>D133/D121-1</f>
        <v/>
      </c>
    </row>
    <row r="134">
      <c r="A134" s="55" t="inlineStr">
        <is>
          <t>2022-10</t>
        </is>
      </c>
      <c r="B134" s="56" t="n">
        <v>44865</v>
      </c>
      <c r="C134" s="65" t="n">
        <v>24.6267</v>
      </c>
      <c r="D134" s="66" t="n">
        <v>21.2999</v>
      </c>
      <c r="E134" s="58">
        <f>C134/C122-1</f>
        <v/>
      </c>
      <c r="F134" s="58">
        <f>D134/D122-1</f>
        <v/>
      </c>
    </row>
    <row r="135">
      <c r="A135" s="55" t="inlineStr">
        <is>
          <t>2022-11</t>
        </is>
      </c>
      <c r="B135" s="56" t="n">
        <v>44895</v>
      </c>
      <c r="C135" s="65" t="n">
        <v>26.31</v>
      </c>
      <c r="D135" s="66" t="n">
        <v>22.7558</v>
      </c>
      <c r="E135" s="58">
        <f>C135/C123-1</f>
        <v/>
      </c>
      <c r="F135" s="58">
        <f>D135/D123-1</f>
        <v/>
      </c>
    </row>
    <row r="136">
      <c r="A136" s="55" t="inlineStr">
        <is>
          <t>2022-12</t>
        </is>
      </c>
      <c r="B136" s="56" t="n">
        <v>44925</v>
      </c>
      <c r="C136" s="65" t="n">
        <v>25.18</v>
      </c>
      <c r="D136" s="66" t="n">
        <v>21.9799</v>
      </c>
      <c r="E136" s="58">
        <f>C136/C124-1</f>
        <v/>
      </c>
      <c r="F136" s="58">
        <f>D136/D124-1</f>
        <v/>
      </c>
    </row>
    <row r="137">
      <c r="A137" s="55" t="inlineStr">
        <is>
          <t>2023-01</t>
        </is>
      </c>
      <c r="B137" s="56" t="n">
        <v>44957</v>
      </c>
      <c r="C137" s="65" t="n">
        <v>25.7033</v>
      </c>
      <c r="D137" s="66" t="n">
        <v>22.4367</v>
      </c>
      <c r="E137" s="58">
        <f>C137/C125-1</f>
        <v/>
      </c>
      <c r="F137" s="58">
        <f>D137/D125-1</f>
        <v/>
      </c>
    </row>
    <row r="138">
      <c r="A138" s="55" t="inlineStr">
        <is>
          <t>2023-02</t>
        </is>
      </c>
      <c r="B138" s="56" t="n">
        <v>44985</v>
      </c>
      <c r="C138" s="65" t="n">
        <v>24.85</v>
      </c>
      <c r="D138" s="66" t="n">
        <v>21.6918</v>
      </c>
      <c r="E138" s="58">
        <f>C138/C126-1</f>
        <v/>
      </c>
      <c r="F138" s="58">
        <f>D138/D126-1</f>
        <v/>
      </c>
    </row>
    <row r="139">
      <c r="A139" s="55" t="inlineStr">
        <is>
          <t>2023-03</t>
        </is>
      </c>
      <c r="B139" s="56" t="n">
        <v>45016</v>
      </c>
      <c r="C139" s="65" t="n">
        <v>24.3867</v>
      </c>
      <c r="D139" s="66" t="n">
        <v>21.4645</v>
      </c>
      <c r="E139" s="58">
        <f>C139/C127-1</f>
        <v/>
      </c>
      <c r="F139" s="58">
        <f>D139/D127-1</f>
        <v/>
      </c>
    </row>
    <row r="140">
      <c r="A140" s="55" t="inlineStr">
        <is>
          <t>2023-04</t>
        </is>
      </c>
      <c r="B140" s="56" t="n">
        <v>45044</v>
      </c>
      <c r="C140" s="65" t="n">
        <v>24.19</v>
      </c>
      <c r="D140" s="66" t="n">
        <v>21.2914</v>
      </c>
      <c r="E140" s="58">
        <f>C140/C128-1</f>
        <v/>
      </c>
      <c r="F140" s="58">
        <f>D140/D128-1</f>
        <v/>
      </c>
    </row>
    <row r="141">
      <c r="A141" s="55" t="inlineStr">
        <is>
          <t>2023-05</t>
        </is>
      </c>
      <c r="B141" s="56" t="n">
        <v>45077</v>
      </c>
      <c r="C141" s="65" t="n">
        <v>23.1967</v>
      </c>
      <c r="D141" s="66" t="n">
        <v>20.4171</v>
      </c>
      <c r="E141" s="58">
        <f>C141/C129-1</f>
        <v/>
      </c>
      <c r="F141" s="58">
        <f>D141/D129-1</f>
        <v/>
      </c>
    </row>
    <row r="142">
      <c r="A142" s="55" t="inlineStr">
        <is>
          <t>2023-06</t>
        </is>
      </c>
      <c r="B142" s="56" t="n">
        <v>45107</v>
      </c>
      <c r="C142" s="65" t="n">
        <v>24.2067</v>
      </c>
      <c r="D142" s="66" t="n">
        <v>21.5029</v>
      </c>
      <c r="E142" s="58">
        <f>C142/C130-1</f>
        <v/>
      </c>
      <c r="F142" s="58">
        <f>D142/D130-1</f>
        <v/>
      </c>
    </row>
    <row r="143">
      <c r="A143" s="55" t="inlineStr">
        <is>
          <t>2023-07</t>
        </is>
      </c>
      <c r="B143" s="56" t="n">
        <v>45138</v>
      </c>
      <c r="C143" s="65" t="n">
        <v>25.22</v>
      </c>
      <c r="D143" s="66" t="n">
        <v>22.4031</v>
      </c>
      <c r="E143" s="58">
        <f>C143/C131-1</f>
        <v/>
      </c>
      <c r="F143" s="58">
        <f>D143/D131-1</f>
        <v/>
      </c>
    </row>
    <row r="144">
      <c r="A144" s="55" t="inlineStr">
        <is>
          <t>2023-08</t>
        </is>
      </c>
      <c r="B144" s="56" t="n">
        <v>45169</v>
      </c>
      <c r="C144" s="65" t="n">
        <v>24.8433</v>
      </c>
      <c r="D144" s="66" t="n">
        <v>22.0685</v>
      </c>
      <c r="E144" s="58">
        <f>C144/C132-1</f>
        <v/>
      </c>
      <c r="F144" s="58">
        <f>D144/D132-1</f>
        <v/>
      </c>
    </row>
    <row r="145">
      <c r="A145" s="55" t="inlineStr">
        <is>
          <t>2023-09</t>
        </is>
      </c>
      <c r="B145" s="56" t="n">
        <v>45198</v>
      </c>
      <c r="C145" s="65" t="n">
        <v>23.5867</v>
      </c>
      <c r="D145" s="66" t="n">
        <v>21.1408</v>
      </c>
      <c r="E145" s="58">
        <f>C145/C133-1</f>
        <v/>
      </c>
      <c r="F145" s="58">
        <f>D145/D133-1</f>
        <v/>
      </c>
    </row>
    <row r="146">
      <c r="A146" s="55" t="inlineStr">
        <is>
          <t>2023-10</t>
        </is>
      </c>
      <c r="B146" s="56" t="n">
        <v>45230</v>
      </c>
      <c r="C146" s="65" t="n">
        <v>22.6867</v>
      </c>
      <c r="D146" s="66" t="n">
        <v>20.3341</v>
      </c>
      <c r="E146" s="58">
        <f>C146/C134-1</f>
        <v/>
      </c>
      <c r="F146" s="58">
        <f>D146/D134-1</f>
        <v/>
      </c>
    </row>
    <row r="147">
      <c r="A147" s="55" t="inlineStr">
        <is>
          <t>2023-11</t>
        </is>
      </c>
      <c r="B147" s="56" t="n">
        <v>45260</v>
      </c>
      <c r="C147" s="65" t="n">
        <v>24.1167</v>
      </c>
      <c r="D147" s="66" t="n">
        <v>21.6158</v>
      </c>
      <c r="E147" s="58">
        <f>C147/C135-1</f>
        <v/>
      </c>
      <c r="F147" s="58">
        <f>D147/D135-1</f>
        <v/>
      </c>
    </row>
    <row r="148">
      <c r="A148" s="55" t="inlineStr">
        <is>
          <t>2023-12</t>
        </is>
      </c>
      <c r="B148" s="56" t="n">
        <v>45289</v>
      </c>
      <c r="C148" s="65" t="n">
        <v>25.3767</v>
      </c>
      <c r="D148" s="66" t="n">
        <v>22.9787</v>
      </c>
      <c r="E148" s="58">
        <f>C148/C136-1</f>
        <v/>
      </c>
      <c r="F148" s="58">
        <f>D148/D136-1</f>
        <v/>
      </c>
    </row>
    <row r="149">
      <c r="A149" s="55" t="inlineStr">
        <is>
          <t>2024-01</t>
        </is>
      </c>
      <c r="B149" s="56" t="n">
        <v>45322</v>
      </c>
      <c r="C149" s="65" t="n">
        <v>25.4133</v>
      </c>
      <c r="D149" s="66" t="n">
        <v>23.0119</v>
      </c>
      <c r="E149" s="58">
        <f>C149/C137-1</f>
        <v/>
      </c>
      <c r="F149" s="58">
        <f>D149/D137-1</f>
        <v/>
      </c>
    </row>
    <row r="150">
      <c r="A150" s="55" t="inlineStr">
        <is>
          <t>2024-02</t>
        </is>
      </c>
      <c r="B150" s="56" t="n">
        <v>45351</v>
      </c>
      <c r="C150" s="65" t="n">
        <v>25.88</v>
      </c>
      <c r="D150" s="66" t="n">
        <v>23.4345</v>
      </c>
      <c r="E150" s="58">
        <f>C150/C138-1</f>
        <v/>
      </c>
      <c r="F150" s="58">
        <f>D150/D138-1</f>
        <v/>
      </c>
    </row>
    <row r="151">
      <c r="A151" s="55" t="inlineStr">
        <is>
          <t>2024-03</t>
        </is>
      </c>
      <c r="B151" s="56" t="n">
        <v>45379</v>
      </c>
      <c r="C151" s="65" t="n">
        <v>26.8767</v>
      </c>
      <c r="D151" s="66" t="n">
        <v>24.5265</v>
      </c>
      <c r="E151" s="58">
        <f>C151/C139-1</f>
        <v/>
      </c>
      <c r="F151" s="58">
        <f>D151/D139-1</f>
        <v/>
      </c>
    </row>
    <row r="152">
      <c r="A152" s="55" t="inlineStr">
        <is>
          <t>2024-04</t>
        </is>
      </c>
      <c r="B152" s="56" t="n">
        <v>45412</v>
      </c>
      <c r="C152" s="65" t="n">
        <v>25.6633</v>
      </c>
      <c r="D152" s="66" t="n">
        <v>23.4192</v>
      </c>
      <c r="E152" s="58">
        <f>C152/C140-1</f>
        <v/>
      </c>
      <c r="F152" s="58">
        <f>D152/D140-1</f>
        <v/>
      </c>
    </row>
    <row r="153">
      <c r="A153" s="55" t="inlineStr">
        <is>
          <t>2024-05</t>
        </is>
      </c>
      <c r="B153" s="56" t="n">
        <v>45443</v>
      </c>
      <c r="C153" s="65" t="n">
        <v>26.19</v>
      </c>
      <c r="D153" s="66" t="n">
        <v>23.8998</v>
      </c>
      <c r="E153" s="58">
        <f>C153/C141-1</f>
        <v/>
      </c>
      <c r="F153" s="58">
        <f>D153/D141-1</f>
        <v/>
      </c>
    </row>
    <row r="154">
      <c r="A154" s="55" t="inlineStr">
        <is>
          <t>2024-06</t>
        </is>
      </c>
      <c r="B154" s="56" t="n">
        <v>45471</v>
      </c>
      <c r="C154" s="65" t="n">
        <v>25.92</v>
      </c>
      <c r="D154" s="66" t="n">
        <v>23.9041</v>
      </c>
      <c r="E154" s="58">
        <f>C154/C142-1</f>
        <v/>
      </c>
      <c r="F154" s="58">
        <f>D154/D142-1</f>
        <v/>
      </c>
    </row>
    <row r="155">
      <c r="A155" s="55" t="inlineStr">
        <is>
          <t>2024-07</t>
        </is>
      </c>
      <c r="B155" s="56" t="n">
        <v>45504</v>
      </c>
      <c r="C155" s="65" t="n">
        <v>27.5267</v>
      </c>
      <c r="D155" s="66" t="n">
        <v>25.3858</v>
      </c>
      <c r="E155" s="58">
        <f>C155/C143-1</f>
        <v/>
      </c>
      <c r="F155" s="58">
        <f>D155/D143-1</f>
        <v/>
      </c>
    </row>
    <row r="156">
      <c r="A156" s="55" t="inlineStr">
        <is>
          <t>2024-08</t>
        </is>
      </c>
      <c r="B156" s="56" t="n">
        <v>45534</v>
      </c>
      <c r="C156" s="65" t="n">
        <v>28.1767</v>
      </c>
      <c r="D156" s="66" t="n">
        <v>25.9853</v>
      </c>
      <c r="E156" s="58">
        <f>C156/C144-1</f>
        <v/>
      </c>
      <c r="F156" s="58">
        <f>D156/D144-1</f>
        <v/>
      </c>
    </row>
    <row r="157">
      <c r="A157" s="55" t="inlineStr">
        <is>
          <t>2024-09</t>
        </is>
      </c>
      <c r="B157" s="56" t="n">
        <v>45565</v>
      </c>
      <c r="C157" s="65" t="n">
        <v>28.1767</v>
      </c>
      <c r="D157" s="66" t="n">
        <v>26.218</v>
      </c>
      <c r="E157" s="58">
        <f>C157/C145-1</f>
        <v/>
      </c>
      <c r="F157" s="58">
        <f>D157/D145-1</f>
        <v/>
      </c>
    </row>
    <row r="158">
      <c r="A158" s="55" t="inlineStr">
        <is>
          <t>2024-10</t>
        </is>
      </c>
      <c r="B158" s="56" t="n">
        <v>45596</v>
      </c>
      <c r="C158" s="65" t="n">
        <v>28.23</v>
      </c>
      <c r="D158" s="66" t="n">
        <v>26.2676</v>
      </c>
      <c r="E158" s="58">
        <f>C158/C146-1</f>
        <v/>
      </c>
      <c r="F158" s="58">
        <f>D158/D146-1</f>
        <v/>
      </c>
    </row>
    <row r="159">
      <c r="A159" s="55" t="inlineStr">
        <is>
          <t>2024-11</t>
        </is>
      </c>
      <c r="B159" s="56" t="n">
        <v>45625</v>
      </c>
      <c r="C159" s="65" t="n">
        <v>29.53</v>
      </c>
      <c r="D159" s="66" t="n">
        <v>27.4772</v>
      </c>
      <c r="E159" s="58">
        <f>C159/C147-1</f>
        <v/>
      </c>
      <c r="F159" s="58">
        <f>D159/D147-1</f>
        <v/>
      </c>
    </row>
    <row r="160">
      <c r="A160" s="55" t="inlineStr">
        <is>
          <t>2024-12</t>
        </is>
      </c>
      <c r="B160" s="56" t="n">
        <v>45657</v>
      </c>
      <c r="C160" s="65" t="n">
        <v>27.32</v>
      </c>
      <c r="D160" s="66" t="n">
        <v>25.6579</v>
      </c>
      <c r="E160" s="58">
        <f>C160/C148-1</f>
        <v/>
      </c>
      <c r="F160" s="58">
        <f>D160/D148-1</f>
        <v/>
      </c>
    </row>
    <row r="161">
      <c r="A161" s="55" t="inlineStr">
        <is>
          <t>2025-01</t>
        </is>
      </c>
      <c r="B161" s="56" t="n">
        <v>45688</v>
      </c>
      <c r="C161" s="65" t="n">
        <v>27.83</v>
      </c>
      <c r="D161" s="66" t="n">
        <v>26.1369</v>
      </c>
      <c r="E161" s="58">
        <f>C161/C149-1</f>
        <v/>
      </c>
      <c r="F161" s="58">
        <f>D161/D149-1</f>
        <v/>
      </c>
    </row>
    <row r="162">
      <c r="A162" s="55" t="inlineStr">
        <is>
          <t>2025-02</t>
        </is>
      </c>
      <c r="B162" s="56" t="n">
        <v>45716</v>
      </c>
      <c r="C162" s="65" t="n">
        <v>28.54</v>
      </c>
      <c r="D162" s="66" t="n">
        <v>26.8037</v>
      </c>
      <c r="E162" s="58">
        <f>C162/C150-1</f>
        <v/>
      </c>
      <c r="F162" s="58">
        <f>D162/D150-1</f>
        <v/>
      </c>
    </row>
    <row r="163">
      <c r="A163" s="55" t="inlineStr">
        <is>
          <t>2025-03</t>
        </is>
      </c>
      <c r="B163" s="56" t="n">
        <v>45747</v>
      </c>
      <c r="C163" s="65" t="n">
        <v>27.96</v>
      </c>
      <c r="D163" s="66" t="n">
        <v>26.496</v>
      </c>
      <c r="E163" s="58">
        <f>C163/C151-1</f>
        <v/>
      </c>
      <c r="F163" s="58">
        <f>D163/D151-1</f>
        <v/>
      </c>
    </row>
    <row r="164">
      <c r="A164" s="55" t="inlineStr">
        <is>
          <t>2025-04</t>
        </is>
      </c>
      <c r="B164" s="56" t="n">
        <v>45777</v>
      </c>
      <c r="C164" s="65" t="n">
        <v>25.82</v>
      </c>
      <c r="D164" s="66" t="n">
        <v>24.468</v>
      </c>
      <c r="E164" s="58">
        <f>C164/C152-1</f>
        <v/>
      </c>
      <c r="F164" s="58">
        <f>D164/D152-1</f>
        <v/>
      </c>
    </row>
    <row r="165">
      <c r="A165" s="55" t="inlineStr">
        <is>
          <t>2025-05</t>
        </is>
      </c>
      <c r="B165" s="56" t="n">
        <v>45807</v>
      </c>
      <c r="C165" s="65" t="n">
        <v>26.17</v>
      </c>
      <c r="D165" s="66" t="n">
        <v>24.7997</v>
      </c>
      <c r="E165" s="58">
        <f>C165/C153-1</f>
        <v/>
      </c>
      <c r="F165" s="58">
        <f>D165/D153-1</f>
        <v/>
      </c>
    </row>
    <row r="166">
      <c r="A166" s="55" t="inlineStr">
        <is>
          <t>2025-06</t>
        </is>
      </c>
      <c r="B166" s="56" t="n">
        <v>45838</v>
      </c>
      <c r="C166" s="65" t="n">
        <v>26.5</v>
      </c>
      <c r="D166" s="66" t="n">
        <v>25.359</v>
      </c>
      <c r="E166" s="58">
        <f>C166/C154-1</f>
        <v/>
      </c>
      <c r="F166" s="58">
        <f>D166/D154-1</f>
        <v/>
      </c>
    </row>
    <row r="167">
      <c r="A167" s="55" t="inlineStr">
        <is>
          <t>2025-07</t>
        </is>
      </c>
      <c r="B167" s="56" t="n">
        <v>45869</v>
      </c>
      <c r="C167" s="65" t="n">
        <v>26.5</v>
      </c>
      <c r="D167" s="66" t="n">
        <v>25.359</v>
      </c>
      <c r="E167" s="58">
        <f>C167/C155-1</f>
        <v/>
      </c>
      <c r="F167" s="58">
        <f>D167/D155-1</f>
        <v/>
      </c>
    </row>
    <row r="168">
      <c r="A168" s="55" t="inlineStr">
        <is>
          <t>2025-08</t>
        </is>
      </c>
      <c r="B168" s="56" t="n">
        <v>45898</v>
      </c>
      <c r="C168" s="65" t="n">
        <v>27.92</v>
      </c>
      <c r="D168" s="66" t="n">
        <v>26.7179</v>
      </c>
      <c r="E168" s="58">
        <f>C168/C156-1</f>
        <v/>
      </c>
      <c r="F168" s="58">
        <f>D168/D156-1</f>
        <v/>
      </c>
    </row>
    <row r="169">
      <c r="A169" s="55" t="inlineStr">
        <is>
          <t>2025-09</t>
        </is>
      </c>
      <c r="B169" s="56" t="n">
        <v>45930</v>
      </c>
      <c r="C169" s="65" t="n">
        <v>27.3</v>
      </c>
      <c r="D169" s="66" t="n">
        <v>26.3748</v>
      </c>
      <c r="E169" s="58">
        <f>C169/C157-1</f>
        <v/>
      </c>
      <c r="F169" s="58">
        <f>D169/D157-1</f>
        <v/>
      </c>
    </row>
    <row r="170">
      <c r="A170" s="55" t="inlineStr">
        <is>
          <t>2025-10</t>
        </is>
      </c>
      <c r="B170" s="56" t="n">
        <v>45961</v>
      </c>
      <c r="C170" s="65" t="n">
        <v>26.75</v>
      </c>
      <c r="D170" s="66" t="n">
        <v>25.8435</v>
      </c>
      <c r="E170" s="58">
        <f>C170/C158-1</f>
        <v/>
      </c>
      <c r="F170" s="58">
        <f>D170/D158-1</f>
        <v/>
      </c>
    </row>
    <row r="171">
      <c r="A171" s="55" t="inlineStr">
        <is>
          <t>2025-11</t>
        </is>
      </c>
      <c r="B171" s="56" t="n">
        <v>45989</v>
      </c>
      <c r="C171" s="65" t="n">
        <v>27.59</v>
      </c>
      <c r="D171" s="66" t="n">
        <v>26.655</v>
      </c>
      <c r="E171" s="58">
        <f>C171/C159-1</f>
        <v/>
      </c>
      <c r="F171" s="58">
        <f>D171/D159-1</f>
        <v/>
      </c>
    </row>
    <row r="172">
      <c r="A172" s="55" t="inlineStr">
        <is>
          <t>2025-12</t>
        </is>
      </c>
      <c r="B172" s="56" t="n">
        <v>46022</v>
      </c>
      <c r="C172" s="65" t="n">
        <v>27.43</v>
      </c>
      <c r="D172" s="66" t="n">
        <v>26.7715</v>
      </c>
      <c r="E172" s="58">
        <f>C172/C160-1</f>
        <v/>
      </c>
      <c r="F172" s="58">
        <f>D172/D160-1</f>
        <v/>
      </c>
    </row>
    <row r="173">
      <c r="A173" s="55" t="inlineStr">
        <is>
          <t>2026-01</t>
        </is>
      </c>
      <c r="B173" s="56" t="n">
        <v>46052</v>
      </c>
      <c r="C173" s="65" t="n">
        <v>29.82</v>
      </c>
      <c r="D173" s="66" t="n">
        <v>29.1041</v>
      </c>
      <c r="E173" s="58">
        <f>C173/C161-1</f>
        <v/>
      </c>
      <c r="F173" s="58">
        <f>D173/D161-1</f>
        <v/>
      </c>
    </row>
    <row r="174">
      <c r="A174" s="55" t="inlineStr">
        <is>
          <t>2026-02</t>
        </is>
      </c>
      <c r="B174" s="56" t="n">
        <v>46080</v>
      </c>
      <c r="C174" s="65" t="n">
        <v>31.77</v>
      </c>
      <c r="D174" s="66" t="n">
        <v>31.0073</v>
      </c>
      <c r="E174" s="58">
        <f>C174/C162-1</f>
        <v/>
      </c>
      <c r="F174" s="58">
        <f>D174/D162-1</f>
        <v/>
      </c>
    </row>
    <row r="175">
      <c r="A175" s="55" t="inlineStr">
        <is>
          <t>2026-03</t>
        </is>
      </c>
      <c r="B175" s="56" t="n">
        <v>46112</v>
      </c>
      <c r="C175" s="65" t="n">
        <v>30.68</v>
      </c>
      <c r="D175" s="66" t="n">
        <v>30.1967</v>
      </c>
      <c r="E175" s="58">
        <f>C175/C163-1</f>
        <v/>
      </c>
      <c r="F175" s="58">
        <f>D175/D163-1</f>
        <v/>
      </c>
    </row>
    <row r="176">
      <c r="A176" s="55" t="inlineStr">
        <is>
          <t>2026-04</t>
        </is>
      </c>
      <c r="B176" s="56" t="n">
        <v>46142</v>
      </c>
      <c r="C176" s="65" t="n">
        <v>32.07</v>
      </c>
      <c r="D176" s="66" t="n">
        <v>31.5648</v>
      </c>
      <c r="E176" s="58">
        <f>C176/C164-1</f>
        <v/>
      </c>
      <c r="F176" s="58">
        <f>D176/D164-1</f>
        <v/>
      </c>
    </row>
    <row r="177">
      <c r="A177" s="55" t="inlineStr">
        <is>
          <t>2026-05</t>
        </is>
      </c>
      <c r="B177" s="56" t="n">
        <v>46171</v>
      </c>
      <c r="C177" s="65" t="n">
        <v>32.5</v>
      </c>
      <c r="D177" s="66" t="n">
        <v>31.9881</v>
      </c>
      <c r="E177" s="58">
        <f>C177/C165-1</f>
        <v/>
      </c>
      <c r="F177" s="58">
        <f>D177/D165-1</f>
        <v/>
      </c>
    </row>
    <row r="178">
      <c r="A178" s="55" t="inlineStr">
        <is>
          <t>2026-06</t>
        </is>
      </c>
      <c r="B178" s="56" t="n">
        <v>46203</v>
      </c>
      <c r="C178" s="65" t="n">
        <v>31.71</v>
      </c>
      <c r="D178" s="66" t="n">
        <v>31.4591</v>
      </c>
      <c r="E178" s="58">
        <f>C178/C166-1</f>
        <v/>
      </c>
      <c r="F178" s="58">
        <f>D178/D166-1</f>
        <v/>
      </c>
    </row>
    <row r="179">
      <c r="A179" s="55" t="inlineStr">
        <is>
          <t>2026-07</t>
        </is>
      </c>
      <c r="B179" s="56" t="n">
        <v>46234</v>
      </c>
      <c r="C179" s="65" t="n">
        <v>33.47</v>
      </c>
      <c r="D179" s="66" t="n">
        <v>33.2051</v>
      </c>
      <c r="E179" s="58">
        <f>C179/C167-1</f>
        <v/>
      </c>
      <c r="F179" s="58">
        <f>D179/D167-1</f>
        <v/>
      </c>
    </row>
    <row r="180">
      <c r="A180" s="55" t="inlineStr">
        <is>
          <t>2026-08</t>
        </is>
      </c>
      <c r="B180" s="56" t="n">
        <v>46265</v>
      </c>
      <c r="C180" s="65" t="n">
        <v>34.89</v>
      </c>
      <c r="D180" s="66" t="n">
        <v>34.6139</v>
      </c>
      <c r="E180" s="58">
        <f>C180/C168-1</f>
        <v/>
      </c>
      <c r="F180" s="58">
        <f>D180/D168-1</f>
        <v/>
      </c>
    </row>
    <row r="181">
      <c r="A181" s="55" t="inlineStr">
        <is>
          <t>2026-09</t>
        </is>
      </c>
      <c r="B181" s="56" t="n">
        <v>46295</v>
      </c>
      <c r="C181" s="65" t="n">
        <v>32.53</v>
      </c>
      <c r="D181" s="66" t="n">
        <v>32.53</v>
      </c>
      <c r="E181" s="58">
        <f>C181/C169-1</f>
        <v/>
      </c>
      <c r="F181" s="58">
        <f>D181/D169-1</f>
        <v/>
      </c>
    </row>
    <row r="182">
      <c r="A182" s="55" t="inlineStr">
        <is>
          <t>2026-10</t>
        </is>
      </c>
      <c r="B182" s="56" t="n">
        <v>46303</v>
      </c>
      <c r="C182" s="65" t="n">
        <v>33.15</v>
      </c>
      <c r="D182" s="66" t="n">
        <v>33.15</v>
      </c>
      <c r="E182" s="58">
        <f>C182/C170-1</f>
        <v/>
      </c>
      <c r="F182" s="58">
        <f>D182/D170-1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9" customWidth="1" min="3" max="3"/>
    <col width="11" customWidth="1" min="4" max="4"/>
    <col width="11" customWidth="1" min="5" max="5"/>
    <col width="11" customWidth="1" min="6" max="6"/>
  </cols>
  <sheetData>
    <row r="1" ht="34" customHeight="1">
      <c r="A1" s="23" t="inlineStr">
        <is>
          <t>연도</t>
        </is>
      </c>
      <c r="B1" s="23" t="inlineStr">
        <is>
          <t>분기</t>
        </is>
      </c>
      <c r="C1" s="23" t="inlineStr">
        <is>
          <t>라벨</t>
        </is>
      </c>
      <c r="D1" s="23" t="inlineStr">
        <is>
          <t>확정 배당</t>
        </is>
      </c>
      <c r="E1" s="23" t="inlineStr">
        <is>
          <t>예상 배당</t>
        </is>
      </c>
      <c r="F1" s="23" t="inlineStr">
        <is>
          <t>전체 평균</t>
        </is>
      </c>
      <c r="G1" s="2" t="inlineStr">
        <is>
          <t>분기 차트용 표. 예상 배당 = 올해(데이터가 있는 마지막 연도) 미지급 분기를 그해 확정 분기의 단순 평균으로 채운 값</t>
        </is>
      </c>
    </row>
    <row r="2">
      <c r="A2" s="45" t="n">
        <v>2012</v>
      </c>
      <c r="B2" s="67" t="n">
        <v>1</v>
      </c>
      <c r="C2" s="45" t="inlineStr">
        <is>
          <t>12 Q1</t>
        </is>
      </c>
      <c r="D2" s="28">
        <f>IF(COUNTIFS(SCHD_배당!$A$2:$A$90,A2,SCHD_배당!$B$2:$B$90,B2)=0,"",SUMIFS(SCHD_배당!$G$2:$G$90,SCHD_배당!$A$2:$A$90,A2,SCHD_배당!$B$2:$B$90,B2))</f>
        <v/>
      </c>
      <c r="E2" s="28">
        <f>IF(AND(D2="",A2=MAX(SCHD_배당!$A$2:$A$90),COUNTIFS(SCHD_배당!$A$2:$A$90,A2)&gt;0),SUMIFS(SCHD_배당!$G$2:$G$90,SCHD_배당!$A$2:$A$90,A2)/COUNTIFS(SCHD_배당!$A$2:$A$90,A2),"")</f>
        <v/>
      </c>
      <c r="F2" s="28">
        <f>AVERAGE($D$2:$D$61)</f>
        <v/>
      </c>
    </row>
    <row r="3">
      <c r="A3" s="45" t="n">
        <v>2012</v>
      </c>
      <c r="B3" s="67" t="n">
        <v>2</v>
      </c>
      <c r="C3" s="45" t="inlineStr">
        <is>
          <t>12 Q2</t>
        </is>
      </c>
      <c r="D3" s="28">
        <f>IF(COUNTIFS(SCHD_배당!$A$2:$A$90,A3,SCHD_배당!$B$2:$B$90,B3)=0,"",SUMIFS(SCHD_배당!$G$2:$G$90,SCHD_배당!$A$2:$A$90,A3,SCHD_배당!$B$2:$B$90,B3))</f>
        <v/>
      </c>
      <c r="E3" s="28">
        <f>IF(AND(D3="",A3=MAX(SCHD_배당!$A$2:$A$90),COUNTIFS(SCHD_배당!$A$2:$A$90,A3)&gt;0),SUMIFS(SCHD_배당!$G$2:$G$90,SCHD_배당!$A$2:$A$90,A3)/COUNTIFS(SCHD_배당!$A$2:$A$90,A3),"")</f>
        <v/>
      </c>
      <c r="F3" s="28">
        <f>AVERAGE($D$2:$D$61)</f>
        <v/>
      </c>
    </row>
    <row r="4">
      <c r="A4" s="45" t="n">
        <v>2012</v>
      </c>
      <c r="B4" s="67" t="n">
        <v>3</v>
      </c>
      <c r="C4" s="45" t="inlineStr">
        <is>
          <t>12 Q3</t>
        </is>
      </c>
      <c r="D4" s="28">
        <f>IF(COUNTIFS(SCHD_배당!$A$2:$A$90,A4,SCHD_배당!$B$2:$B$90,B4)=0,"",SUMIFS(SCHD_배당!$G$2:$G$90,SCHD_배당!$A$2:$A$90,A4,SCHD_배당!$B$2:$B$90,B4))</f>
        <v/>
      </c>
      <c r="E4" s="28">
        <f>IF(AND(D4="",A4=MAX(SCHD_배당!$A$2:$A$90),COUNTIFS(SCHD_배당!$A$2:$A$90,A4)&gt;0),SUMIFS(SCHD_배당!$G$2:$G$90,SCHD_배당!$A$2:$A$90,A4)/COUNTIFS(SCHD_배당!$A$2:$A$90,A4),"")</f>
        <v/>
      </c>
      <c r="F4" s="28">
        <f>AVERAGE($D$2:$D$61)</f>
        <v/>
      </c>
    </row>
    <row r="5">
      <c r="A5" s="45" t="n">
        <v>2012</v>
      </c>
      <c r="B5" s="67" t="n">
        <v>4</v>
      </c>
      <c r="C5" s="45" t="inlineStr">
        <is>
          <t>12 Q4</t>
        </is>
      </c>
      <c r="D5" s="28">
        <f>IF(COUNTIFS(SCHD_배당!$A$2:$A$90,A5,SCHD_배당!$B$2:$B$90,B5)=0,"",SUMIFS(SCHD_배당!$G$2:$G$90,SCHD_배당!$A$2:$A$90,A5,SCHD_배당!$B$2:$B$90,B5))</f>
        <v/>
      </c>
      <c r="E5" s="28">
        <f>IF(AND(D5="",A5=MAX(SCHD_배당!$A$2:$A$90),COUNTIFS(SCHD_배당!$A$2:$A$90,A5)&gt;0),SUMIFS(SCHD_배당!$G$2:$G$90,SCHD_배당!$A$2:$A$90,A5)/COUNTIFS(SCHD_배당!$A$2:$A$90,A5),"")</f>
        <v/>
      </c>
      <c r="F5" s="28">
        <f>AVERAGE($D$2:$D$61)</f>
        <v/>
      </c>
    </row>
    <row r="6">
      <c r="A6" s="45" t="n">
        <v>2013</v>
      </c>
      <c r="B6" s="67" t="n">
        <v>1</v>
      </c>
      <c r="C6" s="45" t="inlineStr">
        <is>
          <t>13 Q1</t>
        </is>
      </c>
      <c r="D6" s="28">
        <f>IF(COUNTIFS(SCHD_배당!$A$2:$A$90,A6,SCHD_배당!$B$2:$B$90,B6)=0,"",SUMIFS(SCHD_배당!$G$2:$G$90,SCHD_배당!$A$2:$A$90,A6,SCHD_배당!$B$2:$B$90,B6))</f>
        <v/>
      </c>
      <c r="E6" s="28">
        <f>IF(AND(D6="",A6=MAX(SCHD_배당!$A$2:$A$90),COUNTIFS(SCHD_배당!$A$2:$A$90,A6)&gt;0),SUMIFS(SCHD_배당!$G$2:$G$90,SCHD_배당!$A$2:$A$90,A6)/COUNTIFS(SCHD_배당!$A$2:$A$90,A6),"")</f>
        <v/>
      </c>
      <c r="F6" s="28">
        <f>AVERAGE($D$2:$D$61)</f>
        <v/>
      </c>
    </row>
    <row r="7">
      <c r="A7" s="45" t="n">
        <v>2013</v>
      </c>
      <c r="B7" s="67" t="n">
        <v>2</v>
      </c>
      <c r="C7" s="45" t="inlineStr">
        <is>
          <t>13 Q2</t>
        </is>
      </c>
      <c r="D7" s="28">
        <f>IF(COUNTIFS(SCHD_배당!$A$2:$A$90,A7,SCHD_배당!$B$2:$B$90,B7)=0,"",SUMIFS(SCHD_배당!$G$2:$G$90,SCHD_배당!$A$2:$A$90,A7,SCHD_배당!$B$2:$B$90,B7))</f>
        <v/>
      </c>
      <c r="E7" s="28">
        <f>IF(AND(D7="",A7=MAX(SCHD_배당!$A$2:$A$90),COUNTIFS(SCHD_배당!$A$2:$A$90,A7)&gt;0),SUMIFS(SCHD_배당!$G$2:$G$90,SCHD_배당!$A$2:$A$90,A7)/COUNTIFS(SCHD_배당!$A$2:$A$90,A7),"")</f>
        <v/>
      </c>
      <c r="F7" s="28">
        <f>AVERAGE($D$2:$D$61)</f>
        <v/>
      </c>
    </row>
    <row r="8">
      <c r="A8" s="45" t="n">
        <v>2013</v>
      </c>
      <c r="B8" s="67" t="n">
        <v>3</v>
      </c>
      <c r="C8" s="45" t="inlineStr">
        <is>
          <t>13 Q3</t>
        </is>
      </c>
      <c r="D8" s="28">
        <f>IF(COUNTIFS(SCHD_배당!$A$2:$A$90,A8,SCHD_배당!$B$2:$B$90,B8)=0,"",SUMIFS(SCHD_배당!$G$2:$G$90,SCHD_배당!$A$2:$A$90,A8,SCHD_배당!$B$2:$B$90,B8))</f>
        <v/>
      </c>
      <c r="E8" s="28">
        <f>IF(AND(D8="",A8=MAX(SCHD_배당!$A$2:$A$90),COUNTIFS(SCHD_배당!$A$2:$A$90,A8)&gt;0),SUMIFS(SCHD_배당!$G$2:$G$90,SCHD_배당!$A$2:$A$90,A8)/COUNTIFS(SCHD_배당!$A$2:$A$90,A8),"")</f>
        <v/>
      </c>
      <c r="F8" s="28">
        <f>AVERAGE($D$2:$D$61)</f>
        <v/>
      </c>
    </row>
    <row r="9">
      <c r="A9" s="45" t="n">
        <v>2013</v>
      </c>
      <c r="B9" s="67" t="n">
        <v>4</v>
      </c>
      <c r="C9" s="45" t="inlineStr">
        <is>
          <t>13 Q4</t>
        </is>
      </c>
      <c r="D9" s="28">
        <f>IF(COUNTIFS(SCHD_배당!$A$2:$A$90,A9,SCHD_배당!$B$2:$B$90,B9)=0,"",SUMIFS(SCHD_배당!$G$2:$G$90,SCHD_배당!$A$2:$A$90,A9,SCHD_배당!$B$2:$B$90,B9))</f>
        <v/>
      </c>
      <c r="E9" s="28">
        <f>IF(AND(D9="",A9=MAX(SCHD_배당!$A$2:$A$90),COUNTIFS(SCHD_배당!$A$2:$A$90,A9)&gt;0),SUMIFS(SCHD_배당!$G$2:$G$90,SCHD_배당!$A$2:$A$90,A9)/COUNTIFS(SCHD_배당!$A$2:$A$90,A9),"")</f>
        <v/>
      </c>
      <c r="F9" s="28">
        <f>AVERAGE($D$2:$D$61)</f>
        <v/>
      </c>
    </row>
    <row r="10">
      <c r="A10" s="45" t="n">
        <v>2014</v>
      </c>
      <c r="B10" s="67" t="n">
        <v>1</v>
      </c>
      <c r="C10" s="45" t="inlineStr">
        <is>
          <t>14 Q1</t>
        </is>
      </c>
      <c r="D10" s="28">
        <f>IF(COUNTIFS(SCHD_배당!$A$2:$A$90,A10,SCHD_배당!$B$2:$B$90,B10)=0,"",SUMIFS(SCHD_배당!$G$2:$G$90,SCHD_배당!$A$2:$A$90,A10,SCHD_배당!$B$2:$B$90,B10))</f>
        <v/>
      </c>
      <c r="E10" s="28">
        <f>IF(AND(D10="",A10=MAX(SCHD_배당!$A$2:$A$90),COUNTIFS(SCHD_배당!$A$2:$A$90,A10)&gt;0),SUMIFS(SCHD_배당!$G$2:$G$90,SCHD_배당!$A$2:$A$90,A10)/COUNTIFS(SCHD_배당!$A$2:$A$90,A10),"")</f>
        <v/>
      </c>
      <c r="F10" s="28">
        <f>AVERAGE($D$2:$D$61)</f>
        <v/>
      </c>
    </row>
    <row r="11">
      <c r="A11" s="45" t="n">
        <v>2014</v>
      </c>
      <c r="B11" s="67" t="n">
        <v>2</v>
      </c>
      <c r="C11" s="45" t="inlineStr">
        <is>
          <t>14 Q2</t>
        </is>
      </c>
      <c r="D11" s="28">
        <f>IF(COUNTIFS(SCHD_배당!$A$2:$A$90,A11,SCHD_배당!$B$2:$B$90,B11)=0,"",SUMIFS(SCHD_배당!$G$2:$G$90,SCHD_배당!$A$2:$A$90,A11,SCHD_배당!$B$2:$B$90,B11))</f>
        <v/>
      </c>
      <c r="E11" s="28">
        <f>IF(AND(D11="",A11=MAX(SCHD_배당!$A$2:$A$90),COUNTIFS(SCHD_배당!$A$2:$A$90,A11)&gt;0),SUMIFS(SCHD_배당!$G$2:$G$90,SCHD_배당!$A$2:$A$90,A11)/COUNTIFS(SCHD_배당!$A$2:$A$90,A11),"")</f>
        <v/>
      </c>
      <c r="F11" s="28">
        <f>AVERAGE($D$2:$D$61)</f>
        <v/>
      </c>
    </row>
    <row r="12">
      <c r="A12" s="45" t="n">
        <v>2014</v>
      </c>
      <c r="B12" s="67" t="n">
        <v>3</v>
      </c>
      <c r="C12" s="45" t="inlineStr">
        <is>
          <t>14 Q3</t>
        </is>
      </c>
      <c r="D12" s="28">
        <f>IF(COUNTIFS(SCHD_배당!$A$2:$A$90,A12,SCHD_배당!$B$2:$B$90,B12)=0,"",SUMIFS(SCHD_배당!$G$2:$G$90,SCHD_배당!$A$2:$A$90,A12,SCHD_배당!$B$2:$B$90,B12))</f>
        <v/>
      </c>
      <c r="E12" s="28">
        <f>IF(AND(D12="",A12=MAX(SCHD_배당!$A$2:$A$90),COUNTIFS(SCHD_배당!$A$2:$A$90,A12)&gt;0),SUMIFS(SCHD_배당!$G$2:$G$90,SCHD_배당!$A$2:$A$90,A12)/COUNTIFS(SCHD_배당!$A$2:$A$90,A12),"")</f>
        <v/>
      </c>
      <c r="F12" s="28">
        <f>AVERAGE($D$2:$D$61)</f>
        <v/>
      </c>
    </row>
    <row r="13">
      <c r="A13" s="45" t="n">
        <v>2014</v>
      </c>
      <c r="B13" s="67" t="n">
        <v>4</v>
      </c>
      <c r="C13" s="45" t="inlineStr">
        <is>
          <t>14 Q4</t>
        </is>
      </c>
      <c r="D13" s="28">
        <f>IF(COUNTIFS(SCHD_배당!$A$2:$A$90,A13,SCHD_배당!$B$2:$B$90,B13)=0,"",SUMIFS(SCHD_배당!$G$2:$G$90,SCHD_배당!$A$2:$A$90,A13,SCHD_배당!$B$2:$B$90,B13))</f>
        <v/>
      </c>
      <c r="E13" s="28">
        <f>IF(AND(D13="",A13=MAX(SCHD_배당!$A$2:$A$90),COUNTIFS(SCHD_배당!$A$2:$A$90,A13)&gt;0),SUMIFS(SCHD_배당!$G$2:$G$90,SCHD_배당!$A$2:$A$90,A13)/COUNTIFS(SCHD_배당!$A$2:$A$90,A13),"")</f>
        <v/>
      </c>
      <c r="F13" s="28">
        <f>AVERAGE($D$2:$D$61)</f>
        <v/>
      </c>
    </row>
    <row r="14">
      <c r="A14" s="45" t="n">
        <v>2015</v>
      </c>
      <c r="B14" s="67" t="n">
        <v>1</v>
      </c>
      <c r="C14" s="45" t="inlineStr">
        <is>
          <t>15 Q1</t>
        </is>
      </c>
      <c r="D14" s="28">
        <f>IF(COUNTIFS(SCHD_배당!$A$2:$A$90,A14,SCHD_배당!$B$2:$B$90,B14)=0,"",SUMIFS(SCHD_배당!$G$2:$G$90,SCHD_배당!$A$2:$A$90,A14,SCHD_배당!$B$2:$B$90,B14))</f>
        <v/>
      </c>
      <c r="E14" s="28">
        <f>IF(AND(D14="",A14=MAX(SCHD_배당!$A$2:$A$90),COUNTIFS(SCHD_배당!$A$2:$A$90,A14)&gt;0),SUMIFS(SCHD_배당!$G$2:$G$90,SCHD_배당!$A$2:$A$90,A14)/COUNTIFS(SCHD_배당!$A$2:$A$90,A14),"")</f>
        <v/>
      </c>
      <c r="F14" s="28">
        <f>AVERAGE($D$2:$D$61)</f>
        <v/>
      </c>
    </row>
    <row r="15">
      <c r="A15" s="45" t="n">
        <v>2015</v>
      </c>
      <c r="B15" s="67" t="n">
        <v>2</v>
      </c>
      <c r="C15" s="45" t="inlineStr">
        <is>
          <t>15 Q2</t>
        </is>
      </c>
      <c r="D15" s="28">
        <f>IF(COUNTIFS(SCHD_배당!$A$2:$A$90,A15,SCHD_배당!$B$2:$B$90,B15)=0,"",SUMIFS(SCHD_배당!$G$2:$G$90,SCHD_배당!$A$2:$A$90,A15,SCHD_배당!$B$2:$B$90,B15))</f>
        <v/>
      </c>
      <c r="E15" s="28">
        <f>IF(AND(D15="",A15=MAX(SCHD_배당!$A$2:$A$90),COUNTIFS(SCHD_배당!$A$2:$A$90,A15)&gt;0),SUMIFS(SCHD_배당!$G$2:$G$90,SCHD_배당!$A$2:$A$90,A15)/COUNTIFS(SCHD_배당!$A$2:$A$90,A15),"")</f>
        <v/>
      </c>
      <c r="F15" s="28">
        <f>AVERAGE($D$2:$D$61)</f>
        <v/>
      </c>
    </row>
    <row r="16">
      <c r="A16" s="45" t="n">
        <v>2015</v>
      </c>
      <c r="B16" s="67" t="n">
        <v>3</v>
      </c>
      <c r="C16" s="45" t="inlineStr">
        <is>
          <t>15 Q3</t>
        </is>
      </c>
      <c r="D16" s="28">
        <f>IF(COUNTIFS(SCHD_배당!$A$2:$A$90,A16,SCHD_배당!$B$2:$B$90,B16)=0,"",SUMIFS(SCHD_배당!$G$2:$G$90,SCHD_배당!$A$2:$A$90,A16,SCHD_배당!$B$2:$B$90,B16))</f>
        <v/>
      </c>
      <c r="E16" s="28">
        <f>IF(AND(D16="",A16=MAX(SCHD_배당!$A$2:$A$90),COUNTIFS(SCHD_배당!$A$2:$A$90,A16)&gt;0),SUMIFS(SCHD_배당!$G$2:$G$90,SCHD_배당!$A$2:$A$90,A16)/COUNTIFS(SCHD_배당!$A$2:$A$90,A16),"")</f>
        <v/>
      </c>
      <c r="F16" s="28">
        <f>AVERAGE($D$2:$D$61)</f>
        <v/>
      </c>
    </row>
    <row r="17">
      <c r="A17" s="45" t="n">
        <v>2015</v>
      </c>
      <c r="B17" s="67" t="n">
        <v>4</v>
      </c>
      <c r="C17" s="45" t="inlineStr">
        <is>
          <t>15 Q4</t>
        </is>
      </c>
      <c r="D17" s="28">
        <f>IF(COUNTIFS(SCHD_배당!$A$2:$A$90,A17,SCHD_배당!$B$2:$B$90,B17)=0,"",SUMIFS(SCHD_배당!$G$2:$G$90,SCHD_배당!$A$2:$A$90,A17,SCHD_배당!$B$2:$B$90,B17))</f>
        <v/>
      </c>
      <c r="E17" s="28">
        <f>IF(AND(D17="",A17=MAX(SCHD_배당!$A$2:$A$90),COUNTIFS(SCHD_배당!$A$2:$A$90,A17)&gt;0),SUMIFS(SCHD_배당!$G$2:$G$90,SCHD_배당!$A$2:$A$90,A17)/COUNTIFS(SCHD_배당!$A$2:$A$90,A17),"")</f>
        <v/>
      </c>
      <c r="F17" s="28">
        <f>AVERAGE($D$2:$D$61)</f>
        <v/>
      </c>
    </row>
    <row r="18">
      <c r="A18" s="45" t="n">
        <v>2016</v>
      </c>
      <c r="B18" s="67" t="n">
        <v>1</v>
      </c>
      <c r="C18" s="45" t="inlineStr">
        <is>
          <t>16 Q1</t>
        </is>
      </c>
      <c r="D18" s="28">
        <f>IF(COUNTIFS(SCHD_배당!$A$2:$A$90,A18,SCHD_배당!$B$2:$B$90,B18)=0,"",SUMIFS(SCHD_배당!$G$2:$G$90,SCHD_배당!$A$2:$A$90,A18,SCHD_배당!$B$2:$B$90,B18))</f>
        <v/>
      </c>
      <c r="E18" s="28">
        <f>IF(AND(D18="",A18=MAX(SCHD_배당!$A$2:$A$90),COUNTIFS(SCHD_배당!$A$2:$A$90,A18)&gt;0),SUMIFS(SCHD_배당!$G$2:$G$90,SCHD_배당!$A$2:$A$90,A18)/COUNTIFS(SCHD_배당!$A$2:$A$90,A18),"")</f>
        <v/>
      </c>
      <c r="F18" s="28">
        <f>AVERAGE($D$2:$D$61)</f>
        <v/>
      </c>
    </row>
    <row r="19">
      <c r="A19" s="45" t="n">
        <v>2016</v>
      </c>
      <c r="B19" s="67" t="n">
        <v>2</v>
      </c>
      <c r="C19" s="45" t="inlineStr">
        <is>
          <t>16 Q2</t>
        </is>
      </c>
      <c r="D19" s="28">
        <f>IF(COUNTIFS(SCHD_배당!$A$2:$A$90,A19,SCHD_배당!$B$2:$B$90,B19)=0,"",SUMIFS(SCHD_배당!$G$2:$G$90,SCHD_배당!$A$2:$A$90,A19,SCHD_배당!$B$2:$B$90,B19))</f>
        <v/>
      </c>
      <c r="E19" s="28">
        <f>IF(AND(D19="",A19=MAX(SCHD_배당!$A$2:$A$90),COUNTIFS(SCHD_배당!$A$2:$A$90,A19)&gt;0),SUMIFS(SCHD_배당!$G$2:$G$90,SCHD_배당!$A$2:$A$90,A19)/COUNTIFS(SCHD_배당!$A$2:$A$90,A19),"")</f>
        <v/>
      </c>
      <c r="F19" s="28">
        <f>AVERAGE($D$2:$D$61)</f>
        <v/>
      </c>
    </row>
    <row r="20">
      <c r="A20" s="45" t="n">
        <v>2016</v>
      </c>
      <c r="B20" s="67" t="n">
        <v>3</v>
      </c>
      <c r="C20" s="45" t="inlineStr">
        <is>
          <t>16 Q3</t>
        </is>
      </c>
      <c r="D20" s="28">
        <f>IF(COUNTIFS(SCHD_배당!$A$2:$A$90,A20,SCHD_배당!$B$2:$B$90,B20)=0,"",SUMIFS(SCHD_배당!$G$2:$G$90,SCHD_배당!$A$2:$A$90,A20,SCHD_배당!$B$2:$B$90,B20))</f>
        <v/>
      </c>
      <c r="E20" s="28">
        <f>IF(AND(D20="",A20=MAX(SCHD_배당!$A$2:$A$90),COUNTIFS(SCHD_배당!$A$2:$A$90,A20)&gt;0),SUMIFS(SCHD_배당!$G$2:$G$90,SCHD_배당!$A$2:$A$90,A20)/COUNTIFS(SCHD_배당!$A$2:$A$90,A20),"")</f>
        <v/>
      </c>
      <c r="F20" s="28">
        <f>AVERAGE($D$2:$D$61)</f>
        <v/>
      </c>
    </row>
    <row r="21">
      <c r="A21" s="45" t="n">
        <v>2016</v>
      </c>
      <c r="B21" s="67" t="n">
        <v>4</v>
      </c>
      <c r="C21" s="45" t="inlineStr">
        <is>
          <t>16 Q4</t>
        </is>
      </c>
      <c r="D21" s="28">
        <f>IF(COUNTIFS(SCHD_배당!$A$2:$A$90,A21,SCHD_배당!$B$2:$B$90,B21)=0,"",SUMIFS(SCHD_배당!$G$2:$G$90,SCHD_배당!$A$2:$A$90,A21,SCHD_배당!$B$2:$B$90,B21))</f>
        <v/>
      </c>
      <c r="E21" s="28">
        <f>IF(AND(D21="",A21=MAX(SCHD_배당!$A$2:$A$90),COUNTIFS(SCHD_배당!$A$2:$A$90,A21)&gt;0),SUMIFS(SCHD_배당!$G$2:$G$90,SCHD_배당!$A$2:$A$90,A21)/COUNTIFS(SCHD_배당!$A$2:$A$90,A21),"")</f>
        <v/>
      </c>
      <c r="F21" s="28">
        <f>AVERAGE($D$2:$D$61)</f>
        <v/>
      </c>
    </row>
    <row r="22">
      <c r="A22" s="45" t="n">
        <v>2017</v>
      </c>
      <c r="B22" s="67" t="n">
        <v>1</v>
      </c>
      <c r="C22" s="45" t="inlineStr">
        <is>
          <t>17 Q1</t>
        </is>
      </c>
      <c r="D22" s="28">
        <f>IF(COUNTIFS(SCHD_배당!$A$2:$A$90,A22,SCHD_배당!$B$2:$B$90,B22)=0,"",SUMIFS(SCHD_배당!$G$2:$G$90,SCHD_배당!$A$2:$A$90,A22,SCHD_배당!$B$2:$B$90,B22))</f>
        <v/>
      </c>
      <c r="E22" s="28">
        <f>IF(AND(D22="",A22=MAX(SCHD_배당!$A$2:$A$90),COUNTIFS(SCHD_배당!$A$2:$A$90,A22)&gt;0),SUMIFS(SCHD_배당!$G$2:$G$90,SCHD_배당!$A$2:$A$90,A22)/COUNTIFS(SCHD_배당!$A$2:$A$90,A22),"")</f>
        <v/>
      </c>
      <c r="F22" s="28">
        <f>AVERAGE($D$2:$D$61)</f>
        <v/>
      </c>
    </row>
    <row r="23">
      <c r="A23" s="45" t="n">
        <v>2017</v>
      </c>
      <c r="B23" s="67" t="n">
        <v>2</v>
      </c>
      <c r="C23" s="45" t="inlineStr">
        <is>
          <t>17 Q2</t>
        </is>
      </c>
      <c r="D23" s="28">
        <f>IF(COUNTIFS(SCHD_배당!$A$2:$A$90,A23,SCHD_배당!$B$2:$B$90,B23)=0,"",SUMIFS(SCHD_배당!$G$2:$G$90,SCHD_배당!$A$2:$A$90,A23,SCHD_배당!$B$2:$B$90,B23))</f>
        <v/>
      </c>
      <c r="E23" s="28">
        <f>IF(AND(D23="",A23=MAX(SCHD_배당!$A$2:$A$90),COUNTIFS(SCHD_배당!$A$2:$A$90,A23)&gt;0),SUMIFS(SCHD_배당!$G$2:$G$90,SCHD_배당!$A$2:$A$90,A23)/COUNTIFS(SCHD_배당!$A$2:$A$90,A23),"")</f>
        <v/>
      </c>
      <c r="F23" s="28">
        <f>AVERAGE($D$2:$D$61)</f>
        <v/>
      </c>
    </row>
    <row r="24">
      <c r="A24" s="45" t="n">
        <v>2017</v>
      </c>
      <c r="B24" s="67" t="n">
        <v>3</v>
      </c>
      <c r="C24" s="45" t="inlineStr">
        <is>
          <t>17 Q3</t>
        </is>
      </c>
      <c r="D24" s="28">
        <f>IF(COUNTIFS(SCHD_배당!$A$2:$A$90,A24,SCHD_배당!$B$2:$B$90,B24)=0,"",SUMIFS(SCHD_배당!$G$2:$G$90,SCHD_배당!$A$2:$A$90,A24,SCHD_배당!$B$2:$B$90,B24))</f>
        <v/>
      </c>
      <c r="E24" s="28">
        <f>IF(AND(D24="",A24=MAX(SCHD_배당!$A$2:$A$90),COUNTIFS(SCHD_배당!$A$2:$A$90,A24)&gt;0),SUMIFS(SCHD_배당!$G$2:$G$90,SCHD_배당!$A$2:$A$90,A24)/COUNTIFS(SCHD_배당!$A$2:$A$90,A24),"")</f>
        <v/>
      </c>
      <c r="F24" s="28">
        <f>AVERAGE($D$2:$D$61)</f>
        <v/>
      </c>
    </row>
    <row r="25">
      <c r="A25" s="45" t="n">
        <v>2017</v>
      </c>
      <c r="B25" s="67" t="n">
        <v>4</v>
      </c>
      <c r="C25" s="45" t="inlineStr">
        <is>
          <t>17 Q4</t>
        </is>
      </c>
      <c r="D25" s="28">
        <f>IF(COUNTIFS(SCHD_배당!$A$2:$A$90,A25,SCHD_배당!$B$2:$B$90,B25)=0,"",SUMIFS(SCHD_배당!$G$2:$G$90,SCHD_배당!$A$2:$A$90,A25,SCHD_배당!$B$2:$B$90,B25))</f>
        <v/>
      </c>
      <c r="E25" s="28">
        <f>IF(AND(D25="",A25=MAX(SCHD_배당!$A$2:$A$90),COUNTIFS(SCHD_배당!$A$2:$A$90,A25)&gt;0),SUMIFS(SCHD_배당!$G$2:$G$90,SCHD_배당!$A$2:$A$90,A25)/COUNTIFS(SCHD_배당!$A$2:$A$90,A25),"")</f>
        <v/>
      </c>
      <c r="F25" s="28">
        <f>AVERAGE($D$2:$D$61)</f>
        <v/>
      </c>
    </row>
    <row r="26">
      <c r="A26" s="45" t="n">
        <v>2018</v>
      </c>
      <c r="B26" s="67" t="n">
        <v>1</v>
      </c>
      <c r="C26" s="45" t="inlineStr">
        <is>
          <t>18 Q1</t>
        </is>
      </c>
      <c r="D26" s="28">
        <f>IF(COUNTIFS(SCHD_배당!$A$2:$A$90,A26,SCHD_배당!$B$2:$B$90,B26)=0,"",SUMIFS(SCHD_배당!$G$2:$G$90,SCHD_배당!$A$2:$A$90,A26,SCHD_배당!$B$2:$B$90,B26))</f>
        <v/>
      </c>
      <c r="E26" s="28">
        <f>IF(AND(D26="",A26=MAX(SCHD_배당!$A$2:$A$90),COUNTIFS(SCHD_배당!$A$2:$A$90,A26)&gt;0),SUMIFS(SCHD_배당!$G$2:$G$90,SCHD_배당!$A$2:$A$90,A26)/COUNTIFS(SCHD_배당!$A$2:$A$90,A26),"")</f>
        <v/>
      </c>
      <c r="F26" s="28">
        <f>AVERAGE($D$2:$D$61)</f>
        <v/>
      </c>
    </row>
    <row r="27">
      <c r="A27" s="45" t="n">
        <v>2018</v>
      </c>
      <c r="B27" s="67" t="n">
        <v>2</v>
      </c>
      <c r="C27" s="45" t="inlineStr">
        <is>
          <t>18 Q2</t>
        </is>
      </c>
      <c r="D27" s="28">
        <f>IF(COUNTIFS(SCHD_배당!$A$2:$A$90,A27,SCHD_배당!$B$2:$B$90,B27)=0,"",SUMIFS(SCHD_배당!$G$2:$G$90,SCHD_배당!$A$2:$A$90,A27,SCHD_배당!$B$2:$B$90,B27))</f>
        <v/>
      </c>
      <c r="E27" s="28">
        <f>IF(AND(D27="",A27=MAX(SCHD_배당!$A$2:$A$90),COUNTIFS(SCHD_배당!$A$2:$A$90,A27)&gt;0),SUMIFS(SCHD_배당!$G$2:$G$90,SCHD_배당!$A$2:$A$90,A27)/COUNTIFS(SCHD_배당!$A$2:$A$90,A27),"")</f>
        <v/>
      </c>
      <c r="F27" s="28">
        <f>AVERAGE($D$2:$D$61)</f>
        <v/>
      </c>
    </row>
    <row r="28">
      <c r="A28" s="45" t="n">
        <v>2018</v>
      </c>
      <c r="B28" s="67" t="n">
        <v>3</v>
      </c>
      <c r="C28" s="45" t="inlineStr">
        <is>
          <t>18 Q3</t>
        </is>
      </c>
      <c r="D28" s="28">
        <f>IF(COUNTIFS(SCHD_배당!$A$2:$A$90,A28,SCHD_배당!$B$2:$B$90,B28)=0,"",SUMIFS(SCHD_배당!$G$2:$G$90,SCHD_배당!$A$2:$A$90,A28,SCHD_배당!$B$2:$B$90,B28))</f>
        <v/>
      </c>
      <c r="E28" s="28">
        <f>IF(AND(D28="",A28=MAX(SCHD_배당!$A$2:$A$90),COUNTIFS(SCHD_배당!$A$2:$A$90,A28)&gt;0),SUMIFS(SCHD_배당!$G$2:$G$90,SCHD_배당!$A$2:$A$90,A28)/COUNTIFS(SCHD_배당!$A$2:$A$90,A28),"")</f>
        <v/>
      </c>
      <c r="F28" s="28">
        <f>AVERAGE($D$2:$D$61)</f>
        <v/>
      </c>
    </row>
    <row r="29">
      <c r="A29" s="45" t="n">
        <v>2018</v>
      </c>
      <c r="B29" s="67" t="n">
        <v>4</v>
      </c>
      <c r="C29" s="45" t="inlineStr">
        <is>
          <t>18 Q4</t>
        </is>
      </c>
      <c r="D29" s="28">
        <f>IF(COUNTIFS(SCHD_배당!$A$2:$A$90,A29,SCHD_배당!$B$2:$B$90,B29)=0,"",SUMIFS(SCHD_배당!$G$2:$G$90,SCHD_배당!$A$2:$A$90,A29,SCHD_배당!$B$2:$B$90,B29))</f>
        <v/>
      </c>
      <c r="E29" s="28">
        <f>IF(AND(D29="",A29=MAX(SCHD_배당!$A$2:$A$90),COUNTIFS(SCHD_배당!$A$2:$A$90,A29)&gt;0),SUMIFS(SCHD_배당!$G$2:$G$90,SCHD_배당!$A$2:$A$90,A29)/COUNTIFS(SCHD_배당!$A$2:$A$90,A29),"")</f>
        <v/>
      </c>
      <c r="F29" s="28">
        <f>AVERAGE($D$2:$D$61)</f>
        <v/>
      </c>
    </row>
    <row r="30">
      <c r="A30" s="45" t="n">
        <v>2019</v>
      </c>
      <c r="B30" s="67" t="n">
        <v>1</v>
      </c>
      <c r="C30" s="45" t="inlineStr">
        <is>
          <t>19 Q1</t>
        </is>
      </c>
      <c r="D30" s="28">
        <f>IF(COUNTIFS(SCHD_배당!$A$2:$A$90,A30,SCHD_배당!$B$2:$B$90,B30)=0,"",SUMIFS(SCHD_배당!$G$2:$G$90,SCHD_배당!$A$2:$A$90,A30,SCHD_배당!$B$2:$B$90,B30))</f>
        <v/>
      </c>
      <c r="E30" s="28">
        <f>IF(AND(D30="",A30=MAX(SCHD_배당!$A$2:$A$90),COUNTIFS(SCHD_배당!$A$2:$A$90,A30)&gt;0),SUMIFS(SCHD_배당!$G$2:$G$90,SCHD_배당!$A$2:$A$90,A30)/COUNTIFS(SCHD_배당!$A$2:$A$90,A30),"")</f>
        <v/>
      </c>
      <c r="F30" s="28">
        <f>AVERAGE($D$2:$D$61)</f>
        <v/>
      </c>
    </row>
    <row r="31">
      <c r="A31" s="45" t="n">
        <v>2019</v>
      </c>
      <c r="B31" s="67" t="n">
        <v>2</v>
      </c>
      <c r="C31" s="45" t="inlineStr">
        <is>
          <t>19 Q2</t>
        </is>
      </c>
      <c r="D31" s="28">
        <f>IF(COUNTIFS(SCHD_배당!$A$2:$A$90,A31,SCHD_배당!$B$2:$B$90,B31)=0,"",SUMIFS(SCHD_배당!$G$2:$G$90,SCHD_배당!$A$2:$A$90,A31,SCHD_배당!$B$2:$B$90,B31))</f>
        <v/>
      </c>
      <c r="E31" s="28">
        <f>IF(AND(D31="",A31=MAX(SCHD_배당!$A$2:$A$90),COUNTIFS(SCHD_배당!$A$2:$A$90,A31)&gt;0),SUMIFS(SCHD_배당!$G$2:$G$90,SCHD_배당!$A$2:$A$90,A31)/COUNTIFS(SCHD_배당!$A$2:$A$90,A31),"")</f>
        <v/>
      </c>
      <c r="F31" s="28">
        <f>AVERAGE($D$2:$D$61)</f>
        <v/>
      </c>
    </row>
    <row r="32">
      <c r="A32" s="45" t="n">
        <v>2019</v>
      </c>
      <c r="B32" s="67" t="n">
        <v>3</v>
      </c>
      <c r="C32" s="45" t="inlineStr">
        <is>
          <t>19 Q3</t>
        </is>
      </c>
      <c r="D32" s="28">
        <f>IF(COUNTIFS(SCHD_배당!$A$2:$A$90,A32,SCHD_배당!$B$2:$B$90,B32)=0,"",SUMIFS(SCHD_배당!$G$2:$G$90,SCHD_배당!$A$2:$A$90,A32,SCHD_배당!$B$2:$B$90,B32))</f>
        <v/>
      </c>
      <c r="E32" s="28">
        <f>IF(AND(D32="",A32=MAX(SCHD_배당!$A$2:$A$90),COUNTIFS(SCHD_배당!$A$2:$A$90,A32)&gt;0),SUMIFS(SCHD_배당!$G$2:$G$90,SCHD_배당!$A$2:$A$90,A32)/COUNTIFS(SCHD_배당!$A$2:$A$90,A32),"")</f>
        <v/>
      </c>
      <c r="F32" s="28">
        <f>AVERAGE($D$2:$D$61)</f>
        <v/>
      </c>
    </row>
    <row r="33">
      <c r="A33" s="45" t="n">
        <v>2019</v>
      </c>
      <c r="B33" s="67" t="n">
        <v>4</v>
      </c>
      <c r="C33" s="45" t="inlineStr">
        <is>
          <t>19 Q4</t>
        </is>
      </c>
      <c r="D33" s="28">
        <f>IF(COUNTIFS(SCHD_배당!$A$2:$A$90,A33,SCHD_배당!$B$2:$B$90,B33)=0,"",SUMIFS(SCHD_배당!$G$2:$G$90,SCHD_배당!$A$2:$A$90,A33,SCHD_배당!$B$2:$B$90,B33))</f>
        <v/>
      </c>
      <c r="E33" s="28">
        <f>IF(AND(D33="",A33=MAX(SCHD_배당!$A$2:$A$90),COUNTIFS(SCHD_배당!$A$2:$A$90,A33)&gt;0),SUMIFS(SCHD_배당!$G$2:$G$90,SCHD_배당!$A$2:$A$90,A33)/COUNTIFS(SCHD_배당!$A$2:$A$90,A33),"")</f>
        <v/>
      </c>
      <c r="F33" s="28">
        <f>AVERAGE($D$2:$D$61)</f>
        <v/>
      </c>
    </row>
    <row r="34">
      <c r="A34" s="45" t="n">
        <v>2020</v>
      </c>
      <c r="B34" s="67" t="n">
        <v>1</v>
      </c>
      <c r="C34" s="45" t="inlineStr">
        <is>
          <t>20 Q1</t>
        </is>
      </c>
      <c r="D34" s="28">
        <f>IF(COUNTIFS(SCHD_배당!$A$2:$A$90,A34,SCHD_배당!$B$2:$B$90,B34)=0,"",SUMIFS(SCHD_배당!$G$2:$G$90,SCHD_배당!$A$2:$A$90,A34,SCHD_배당!$B$2:$B$90,B34))</f>
        <v/>
      </c>
      <c r="E34" s="28">
        <f>IF(AND(D34="",A34=MAX(SCHD_배당!$A$2:$A$90),COUNTIFS(SCHD_배당!$A$2:$A$90,A34)&gt;0),SUMIFS(SCHD_배당!$G$2:$G$90,SCHD_배당!$A$2:$A$90,A34)/COUNTIFS(SCHD_배당!$A$2:$A$90,A34),"")</f>
        <v/>
      </c>
      <c r="F34" s="28">
        <f>AVERAGE($D$2:$D$61)</f>
        <v/>
      </c>
    </row>
    <row r="35">
      <c r="A35" s="45" t="n">
        <v>2020</v>
      </c>
      <c r="B35" s="67" t="n">
        <v>2</v>
      </c>
      <c r="C35" s="45" t="inlineStr">
        <is>
          <t>20 Q2</t>
        </is>
      </c>
      <c r="D35" s="28">
        <f>IF(COUNTIFS(SCHD_배당!$A$2:$A$90,A35,SCHD_배당!$B$2:$B$90,B35)=0,"",SUMIFS(SCHD_배당!$G$2:$G$90,SCHD_배당!$A$2:$A$90,A35,SCHD_배당!$B$2:$B$90,B35))</f>
        <v/>
      </c>
      <c r="E35" s="28">
        <f>IF(AND(D35="",A35=MAX(SCHD_배당!$A$2:$A$90),COUNTIFS(SCHD_배당!$A$2:$A$90,A35)&gt;0),SUMIFS(SCHD_배당!$G$2:$G$90,SCHD_배당!$A$2:$A$90,A35)/COUNTIFS(SCHD_배당!$A$2:$A$90,A35),"")</f>
        <v/>
      </c>
      <c r="F35" s="28">
        <f>AVERAGE($D$2:$D$61)</f>
        <v/>
      </c>
    </row>
    <row r="36">
      <c r="A36" s="45" t="n">
        <v>2020</v>
      </c>
      <c r="B36" s="67" t="n">
        <v>3</v>
      </c>
      <c r="C36" s="45" t="inlineStr">
        <is>
          <t>20 Q3</t>
        </is>
      </c>
      <c r="D36" s="28">
        <f>IF(COUNTIFS(SCHD_배당!$A$2:$A$90,A36,SCHD_배당!$B$2:$B$90,B36)=0,"",SUMIFS(SCHD_배당!$G$2:$G$90,SCHD_배당!$A$2:$A$90,A36,SCHD_배당!$B$2:$B$90,B36))</f>
        <v/>
      </c>
      <c r="E36" s="28">
        <f>IF(AND(D36="",A36=MAX(SCHD_배당!$A$2:$A$90),COUNTIFS(SCHD_배당!$A$2:$A$90,A36)&gt;0),SUMIFS(SCHD_배당!$G$2:$G$90,SCHD_배당!$A$2:$A$90,A36)/COUNTIFS(SCHD_배당!$A$2:$A$90,A36),"")</f>
        <v/>
      </c>
      <c r="F36" s="28">
        <f>AVERAGE($D$2:$D$61)</f>
        <v/>
      </c>
    </row>
    <row r="37">
      <c r="A37" s="45" t="n">
        <v>2020</v>
      </c>
      <c r="B37" s="67" t="n">
        <v>4</v>
      </c>
      <c r="C37" s="45" t="inlineStr">
        <is>
          <t>20 Q4</t>
        </is>
      </c>
      <c r="D37" s="28">
        <f>IF(COUNTIFS(SCHD_배당!$A$2:$A$90,A37,SCHD_배당!$B$2:$B$90,B37)=0,"",SUMIFS(SCHD_배당!$G$2:$G$90,SCHD_배당!$A$2:$A$90,A37,SCHD_배당!$B$2:$B$90,B37))</f>
        <v/>
      </c>
      <c r="E37" s="28">
        <f>IF(AND(D37="",A37=MAX(SCHD_배당!$A$2:$A$90),COUNTIFS(SCHD_배당!$A$2:$A$90,A37)&gt;0),SUMIFS(SCHD_배당!$G$2:$G$90,SCHD_배당!$A$2:$A$90,A37)/COUNTIFS(SCHD_배당!$A$2:$A$90,A37),"")</f>
        <v/>
      </c>
      <c r="F37" s="28">
        <f>AVERAGE($D$2:$D$61)</f>
        <v/>
      </c>
    </row>
    <row r="38">
      <c r="A38" s="45" t="n">
        <v>2021</v>
      </c>
      <c r="B38" s="67" t="n">
        <v>1</v>
      </c>
      <c r="C38" s="45" t="inlineStr">
        <is>
          <t>21 Q1</t>
        </is>
      </c>
      <c r="D38" s="28">
        <f>IF(COUNTIFS(SCHD_배당!$A$2:$A$90,A38,SCHD_배당!$B$2:$B$90,B38)=0,"",SUMIFS(SCHD_배당!$G$2:$G$90,SCHD_배당!$A$2:$A$90,A38,SCHD_배당!$B$2:$B$90,B38))</f>
        <v/>
      </c>
      <c r="E38" s="28">
        <f>IF(AND(D38="",A38=MAX(SCHD_배당!$A$2:$A$90),COUNTIFS(SCHD_배당!$A$2:$A$90,A38)&gt;0),SUMIFS(SCHD_배당!$G$2:$G$90,SCHD_배당!$A$2:$A$90,A38)/COUNTIFS(SCHD_배당!$A$2:$A$90,A38),"")</f>
        <v/>
      </c>
      <c r="F38" s="28">
        <f>AVERAGE($D$2:$D$61)</f>
        <v/>
      </c>
    </row>
    <row r="39">
      <c r="A39" s="45" t="n">
        <v>2021</v>
      </c>
      <c r="B39" s="67" t="n">
        <v>2</v>
      </c>
      <c r="C39" s="45" t="inlineStr">
        <is>
          <t>21 Q2</t>
        </is>
      </c>
      <c r="D39" s="28">
        <f>IF(COUNTIFS(SCHD_배당!$A$2:$A$90,A39,SCHD_배당!$B$2:$B$90,B39)=0,"",SUMIFS(SCHD_배당!$G$2:$G$90,SCHD_배당!$A$2:$A$90,A39,SCHD_배당!$B$2:$B$90,B39))</f>
        <v/>
      </c>
      <c r="E39" s="28">
        <f>IF(AND(D39="",A39=MAX(SCHD_배당!$A$2:$A$90),COUNTIFS(SCHD_배당!$A$2:$A$90,A39)&gt;0),SUMIFS(SCHD_배당!$G$2:$G$90,SCHD_배당!$A$2:$A$90,A39)/COUNTIFS(SCHD_배당!$A$2:$A$90,A39),"")</f>
        <v/>
      </c>
      <c r="F39" s="28">
        <f>AVERAGE($D$2:$D$61)</f>
        <v/>
      </c>
    </row>
    <row r="40">
      <c r="A40" s="45" t="n">
        <v>2021</v>
      </c>
      <c r="B40" s="67" t="n">
        <v>3</v>
      </c>
      <c r="C40" s="45" t="inlineStr">
        <is>
          <t>21 Q3</t>
        </is>
      </c>
      <c r="D40" s="28">
        <f>IF(COUNTIFS(SCHD_배당!$A$2:$A$90,A40,SCHD_배당!$B$2:$B$90,B40)=0,"",SUMIFS(SCHD_배당!$G$2:$G$90,SCHD_배당!$A$2:$A$90,A40,SCHD_배당!$B$2:$B$90,B40))</f>
        <v/>
      </c>
      <c r="E40" s="28">
        <f>IF(AND(D40="",A40=MAX(SCHD_배당!$A$2:$A$90),COUNTIFS(SCHD_배당!$A$2:$A$90,A40)&gt;0),SUMIFS(SCHD_배당!$G$2:$G$90,SCHD_배당!$A$2:$A$90,A40)/COUNTIFS(SCHD_배당!$A$2:$A$90,A40),"")</f>
        <v/>
      </c>
      <c r="F40" s="28">
        <f>AVERAGE($D$2:$D$61)</f>
        <v/>
      </c>
    </row>
    <row r="41">
      <c r="A41" s="45" t="n">
        <v>2021</v>
      </c>
      <c r="B41" s="67" t="n">
        <v>4</v>
      </c>
      <c r="C41" s="45" t="inlineStr">
        <is>
          <t>21 Q4</t>
        </is>
      </c>
      <c r="D41" s="28">
        <f>IF(COUNTIFS(SCHD_배당!$A$2:$A$90,A41,SCHD_배당!$B$2:$B$90,B41)=0,"",SUMIFS(SCHD_배당!$G$2:$G$90,SCHD_배당!$A$2:$A$90,A41,SCHD_배당!$B$2:$B$90,B41))</f>
        <v/>
      </c>
      <c r="E41" s="28">
        <f>IF(AND(D41="",A41=MAX(SCHD_배당!$A$2:$A$90),COUNTIFS(SCHD_배당!$A$2:$A$90,A41)&gt;0),SUMIFS(SCHD_배당!$G$2:$G$90,SCHD_배당!$A$2:$A$90,A41)/COUNTIFS(SCHD_배당!$A$2:$A$90,A41),"")</f>
        <v/>
      </c>
      <c r="F41" s="28">
        <f>AVERAGE($D$2:$D$61)</f>
        <v/>
      </c>
    </row>
    <row r="42">
      <c r="A42" s="45" t="n">
        <v>2022</v>
      </c>
      <c r="B42" s="67" t="n">
        <v>1</v>
      </c>
      <c r="C42" s="45" t="inlineStr">
        <is>
          <t>22 Q1</t>
        </is>
      </c>
      <c r="D42" s="28">
        <f>IF(COUNTIFS(SCHD_배당!$A$2:$A$90,A42,SCHD_배당!$B$2:$B$90,B42)=0,"",SUMIFS(SCHD_배당!$G$2:$G$90,SCHD_배당!$A$2:$A$90,A42,SCHD_배당!$B$2:$B$90,B42))</f>
        <v/>
      </c>
      <c r="E42" s="28">
        <f>IF(AND(D42="",A42=MAX(SCHD_배당!$A$2:$A$90),COUNTIFS(SCHD_배당!$A$2:$A$90,A42)&gt;0),SUMIFS(SCHD_배당!$G$2:$G$90,SCHD_배당!$A$2:$A$90,A42)/COUNTIFS(SCHD_배당!$A$2:$A$90,A42),"")</f>
        <v/>
      </c>
      <c r="F42" s="28">
        <f>AVERAGE($D$2:$D$61)</f>
        <v/>
      </c>
    </row>
    <row r="43">
      <c r="A43" s="45" t="n">
        <v>2022</v>
      </c>
      <c r="B43" s="67" t="n">
        <v>2</v>
      </c>
      <c r="C43" s="45" t="inlineStr">
        <is>
          <t>22 Q2</t>
        </is>
      </c>
      <c r="D43" s="28">
        <f>IF(COUNTIFS(SCHD_배당!$A$2:$A$90,A43,SCHD_배당!$B$2:$B$90,B43)=0,"",SUMIFS(SCHD_배당!$G$2:$G$90,SCHD_배당!$A$2:$A$90,A43,SCHD_배당!$B$2:$B$90,B43))</f>
        <v/>
      </c>
      <c r="E43" s="28">
        <f>IF(AND(D43="",A43=MAX(SCHD_배당!$A$2:$A$90),COUNTIFS(SCHD_배당!$A$2:$A$90,A43)&gt;0),SUMIFS(SCHD_배당!$G$2:$G$90,SCHD_배당!$A$2:$A$90,A43)/COUNTIFS(SCHD_배당!$A$2:$A$90,A43),"")</f>
        <v/>
      </c>
      <c r="F43" s="28">
        <f>AVERAGE($D$2:$D$61)</f>
        <v/>
      </c>
    </row>
    <row r="44">
      <c r="A44" s="45" t="n">
        <v>2022</v>
      </c>
      <c r="B44" s="67" t="n">
        <v>3</v>
      </c>
      <c r="C44" s="45" t="inlineStr">
        <is>
          <t>22 Q3</t>
        </is>
      </c>
      <c r="D44" s="28">
        <f>IF(COUNTIFS(SCHD_배당!$A$2:$A$90,A44,SCHD_배당!$B$2:$B$90,B44)=0,"",SUMIFS(SCHD_배당!$G$2:$G$90,SCHD_배당!$A$2:$A$90,A44,SCHD_배당!$B$2:$B$90,B44))</f>
        <v/>
      </c>
      <c r="E44" s="28">
        <f>IF(AND(D44="",A44=MAX(SCHD_배당!$A$2:$A$90),COUNTIFS(SCHD_배당!$A$2:$A$90,A44)&gt;0),SUMIFS(SCHD_배당!$G$2:$G$90,SCHD_배당!$A$2:$A$90,A44)/COUNTIFS(SCHD_배당!$A$2:$A$90,A44),"")</f>
        <v/>
      </c>
      <c r="F44" s="28">
        <f>AVERAGE($D$2:$D$61)</f>
        <v/>
      </c>
    </row>
    <row r="45">
      <c r="A45" s="45" t="n">
        <v>2022</v>
      </c>
      <c r="B45" s="67" t="n">
        <v>4</v>
      </c>
      <c r="C45" s="45" t="inlineStr">
        <is>
          <t>22 Q4</t>
        </is>
      </c>
      <c r="D45" s="28">
        <f>IF(COUNTIFS(SCHD_배당!$A$2:$A$90,A45,SCHD_배당!$B$2:$B$90,B45)=0,"",SUMIFS(SCHD_배당!$G$2:$G$90,SCHD_배당!$A$2:$A$90,A45,SCHD_배당!$B$2:$B$90,B45))</f>
        <v/>
      </c>
      <c r="E45" s="28">
        <f>IF(AND(D45="",A45=MAX(SCHD_배당!$A$2:$A$90),COUNTIFS(SCHD_배당!$A$2:$A$90,A45)&gt;0),SUMIFS(SCHD_배당!$G$2:$G$90,SCHD_배당!$A$2:$A$90,A45)/COUNTIFS(SCHD_배당!$A$2:$A$90,A45),"")</f>
        <v/>
      </c>
      <c r="F45" s="28">
        <f>AVERAGE($D$2:$D$61)</f>
        <v/>
      </c>
    </row>
    <row r="46">
      <c r="A46" s="45" t="n">
        <v>2023</v>
      </c>
      <c r="B46" s="67" t="n">
        <v>1</v>
      </c>
      <c r="C46" s="45" t="inlineStr">
        <is>
          <t>23 Q1</t>
        </is>
      </c>
      <c r="D46" s="28">
        <f>IF(COUNTIFS(SCHD_배당!$A$2:$A$90,A46,SCHD_배당!$B$2:$B$90,B46)=0,"",SUMIFS(SCHD_배당!$G$2:$G$90,SCHD_배당!$A$2:$A$90,A46,SCHD_배당!$B$2:$B$90,B46))</f>
        <v/>
      </c>
      <c r="E46" s="28">
        <f>IF(AND(D46="",A46=MAX(SCHD_배당!$A$2:$A$90),COUNTIFS(SCHD_배당!$A$2:$A$90,A46)&gt;0),SUMIFS(SCHD_배당!$G$2:$G$90,SCHD_배당!$A$2:$A$90,A46)/COUNTIFS(SCHD_배당!$A$2:$A$90,A46),"")</f>
        <v/>
      </c>
      <c r="F46" s="28">
        <f>AVERAGE($D$2:$D$61)</f>
        <v/>
      </c>
    </row>
    <row r="47">
      <c r="A47" s="45" t="n">
        <v>2023</v>
      </c>
      <c r="B47" s="67" t="n">
        <v>2</v>
      </c>
      <c r="C47" s="45" t="inlineStr">
        <is>
          <t>23 Q2</t>
        </is>
      </c>
      <c r="D47" s="28">
        <f>IF(COUNTIFS(SCHD_배당!$A$2:$A$90,A47,SCHD_배당!$B$2:$B$90,B47)=0,"",SUMIFS(SCHD_배당!$G$2:$G$90,SCHD_배당!$A$2:$A$90,A47,SCHD_배당!$B$2:$B$90,B47))</f>
        <v/>
      </c>
      <c r="E47" s="28">
        <f>IF(AND(D47="",A47=MAX(SCHD_배당!$A$2:$A$90),COUNTIFS(SCHD_배당!$A$2:$A$90,A47)&gt;0),SUMIFS(SCHD_배당!$G$2:$G$90,SCHD_배당!$A$2:$A$90,A47)/COUNTIFS(SCHD_배당!$A$2:$A$90,A47),"")</f>
        <v/>
      </c>
      <c r="F47" s="28">
        <f>AVERAGE($D$2:$D$61)</f>
        <v/>
      </c>
    </row>
    <row r="48">
      <c r="A48" s="45" t="n">
        <v>2023</v>
      </c>
      <c r="B48" s="67" t="n">
        <v>3</v>
      </c>
      <c r="C48" s="45" t="inlineStr">
        <is>
          <t>23 Q3</t>
        </is>
      </c>
      <c r="D48" s="28">
        <f>IF(COUNTIFS(SCHD_배당!$A$2:$A$90,A48,SCHD_배당!$B$2:$B$90,B48)=0,"",SUMIFS(SCHD_배당!$G$2:$G$90,SCHD_배당!$A$2:$A$90,A48,SCHD_배당!$B$2:$B$90,B48))</f>
        <v/>
      </c>
      <c r="E48" s="28">
        <f>IF(AND(D48="",A48=MAX(SCHD_배당!$A$2:$A$90),COUNTIFS(SCHD_배당!$A$2:$A$90,A48)&gt;0),SUMIFS(SCHD_배당!$G$2:$G$90,SCHD_배당!$A$2:$A$90,A48)/COUNTIFS(SCHD_배당!$A$2:$A$90,A48),"")</f>
        <v/>
      </c>
      <c r="F48" s="28">
        <f>AVERAGE($D$2:$D$61)</f>
        <v/>
      </c>
    </row>
    <row r="49">
      <c r="A49" s="45" t="n">
        <v>2023</v>
      </c>
      <c r="B49" s="67" t="n">
        <v>4</v>
      </c>
      <c r="C49" s="45" t="inlineStr">
        <is>
          <t>23 Q4</t>
        </is>
      </c>
      <c r="D49" s="28">
        <f>IF(COUNTIFS(SCHD_배당!$A$2:$A$90,A49,SCHD_배당!$B$2:$B$90,B49)=0,"",SUMIFS(SCHD_배당!$G$2:$G$90,SCHD_배당!$A$2:$A$90,A49,SCHD_배당!$B$2:$B$90,B49))</f>
        <v/>
      </c>
      <c r="E49" s="28">
        <f>IF(AND(D49="",A49=MAX(SCHD_배당!$A$2:$A$90),COUNTIFS(SCHD_배당!$A$2:$A$90,A49)&gt;0),SUMIFS(SCHD_배당!$G$2:$G$90,SCHD_배당!$A$2:$A$90,A49)/COUNTIFS(SCHD_배당!$A$2:$A$90,A49),"")</f>
        <v/>
      </c>
      <c r="F49" s="28">
        <f>AVERAGE($D$2:$D$61)</f>
        <v/>
      </c>
    </row>
    <row r="50">
      <c r="A50" s="45" t="n">
        <v>2024</v>
      </c>
      <c r="B50" s="67" t="n">
        <v>1</v>
      </c>
      <c r="C50" s="45" t="inlineStr">
        <is>
          <t>24 Q1</t>
        </is>
      </c>
      <c r="D50" s="28">
        <f>IF(COUNTIFS(SCHD_배당!$A$2:$A$90,A50,SCHD_배당!$B$2:$B$90,B50)=0,"",SUMIFS(SCHD_배당!$G$2:$G$90,SCHD_배당!$A$2:$A$90,A50,SCHD_배당!$B$2:$B$90,B50))</f>
        <v/>
      </c>
      <c r="E50" s="28">
        <f>IF(AND(D50="",A50=MAX(SCHD_배당!$A$2:$A$90),COUNTIFS(SCHD_배당!$A$2:$A$90,A50)&gt;0),SUMIFS(SCHD_배당!$G$2:$G$90,SCHD_배당!$A$2:$A$90,A50)/COUNTIFS(SCHD_배당!$A$2:$A$90,A50),"")</f>
        <v/>
      </c>
      <c r="F50" s="28">
        <f>AVERAGE($D$2:$D$61)</f>
        <v/>
      </c>
    </row>
    <row r="51">
      <c r="A51" s="45" t="n">
        <v>2024</v>
      </c>
      <c r="B51" s="67" t="n">
        <v>2</v>
      </c>
      <c r="C51" s="45" t="inlineStr">
        <is>
          <t>24 Q2</t>
        </is>
      </c>
      <c r="D51" s="28">
        <f>IF(COUNTIFS(SCHD_배당!$A$2:$A$90,A51,SCHD_배당!$B$2:$B$90,B51)=0,"",SUMIFS(SCHD_배당!$G$2:$G$90,SCHD_배당!$A$2:$A$90,A51,SCHD_배당!$B$2:$B$90,B51))</f>
        <v/>
      </c>
      <c r="E51" s="28">
        <f>IF(AND(D51="",A51=MAX(SCHD_배당!$A$2:$A$90),COUNTIFS(SCHD_배당!$A$2:$A$90,A51)&gt;0),SUMIFS(SCHD_배당!$G$2:$G$90,SCHD_배당!$A$2:$A$90,A51)/COUNTIFS(SCHD_배당!$A$2:$A$90,A51),"")</f>
        <v/>
      </c>
      <c r="F51" s="28">
        <f>AVERAGE($D$2:$D$61)</f>
        <v/>
      </c>
    </row>
    <row r="52">
      <c r="A52" s="45" t="n">
        <v>2024</v>
      </c>
      <c r="B52" s="67" t="n">
        <v>3</v>
      </c>
      <c r="C52" s="45" t="inlineStr">
        <is>
          <t>24 Q3</t>
        </is>
      </c>
      <c r="D52" s="28">
        <f>IF(COUNTIFS(SCHD_배당!$A$2:$A$90,A52,SCHD_배당!$B$2:$B$90,B52)=0,"",SUMIFS(SCHD_배당!$G$2:$G$90,SCHD_배당!$A$2:$A$90,A52,SCHD_배당!$B$2:$B$90,B52))</f>
        <v/>
      </c>
      <c r="E52" s="28">
        <f>IF(AND(D52="",A52=MAX(SCHD_배당!$A$2:$A$90),COUNTIFS(SCHD_배당!$A$2:$A$90,A52)&gt;0),SUMIFS(SCHD_배당!$G$2:$G$90,SCHD_배당!$A$2:$A$90,A52)/COUNTIFS(SCHD_배당!$A$2:$A$90,A52),"")</f>
        <v/>
      </c>
      <c r="F52" s="28">
        <f>AVERAGE($D$2:$D$61)</f>
        <v/>
      </c>
    </row>
    <row r="53">
      <c r="A53" s="45" t="n">
        <v>2024</v>
      </c>
      <c r="B53" s="67" t="n">
        <v>4</v>
      </c>
      <c r="C53" s="45" t="inlineStr">
        <is>
          <t>24 Q4</t>
        </is>
      </c>
      <c r="D53" s="28">
        <f>IF(COUNTIFS(SCHD_배당!$A$2:$A$90,A53,SCHD_배당!$B$2:$B$90,B53)=0,"",SUMIFS(SCHD_배당!$G$2:$G$90,SCHD_배당!$A$2:$A$90,A53,SCHD_배당!$B$2:$B$90,B53))</f>
        <v/>
      </c>
      <c r="E53" s="28">
        <f>IF(AND(D53="",A53=MAX(SCHD_배당!$A$2:$A$90),COUNTIFS(SCHD_배당!$A$2:$A$90,A53)&gt;0),SUMIFS(SCHD_배당!$G$2:$G$90,SCHD_배당!$A$2:$A$90,A53)/COUNTIFS(SCHD_배당!$A$2:$A$90,A53),"")</f>
        <v/>
      </c>
      <c r="F53" s="28">
        <f>AVERAGE($D$2:$D$61)</f>
        <v/>
      </c>
    </row>
    <row r="54">
      <c r="A54" s="45" t="n">
        <v>2025</v>
      </c>
      <c r="B54" s="67" t="n">
        <v>1</v>
      </c>
      <c r="C54" s="45" t="inlineStr">
        <is>
          <t>25 Q1</t>
        </is>
      </c>
      <c r="D54" s="28">
        <f>IF(COUNTIFS(SCHD_배당!$A$2:$A$90,A54,SCHD_배당!$B$2:$B$90,B54)=0,"",SUMIFS(SCHD_배당!$G$2:$G$90,SCHD_배당!$A$2:$A$90,A54,SCHD_배당!$B$2:$B$90,B54))</f>
        <v/>
      </c>
      <c r="E54" s="28">
        <f>IF(AND(D54="",A54=MAX(SCHD_배당!$A$2:$A$90),COUNTIFS(SCHD_배당!$A$2:$A$90,A54)&gt;0),SUMIFS(SCHD_배당!$G$2:$G$90,SCHD_배당!$A$2:$A$90,A54)/COUNTIFS(SCHD_배당!$A$2:$A$90,A54),"")</f>
        <v/>
      </c>
      <c r="F54" s="28">
        <f>AVERAGE($D$2:$D$61)</f>
        <v/>
      </c>
    </row>
    <row r="55">
      <c r="A55" s="45" t="n">
        <v>2025</v>
      </c>
      <c r="B55" s="67" t="n">
        <v>2</v>
      </c>
      <c r="C55" s="45" t="inlineStr">
        <is>
          <t>25 Q2</t>
        </is>
      </c>
      <c r="D55" s="28">
        <f>IF(COUNTIFS(SCHD_배당!$A$2:$A$90,A55,SCHD_배당!$B$2:$B$90,B55)=0,"",SUMIFS(SCHD_배당!$G$2:$G$90,SCHD_배당!$A$2:$A$90,A55,SCHD_배당!$B$2:$B$90,B55))</f>
        <v/>
      </c>
      <c r="E55" s="28">
        <f>IF(AND(D55="",A55=MAX(SCHD_배당!$A$2:$A$90),COUNTIFS(SCHD_배당!$A$2:$A$90,A55)&gt;0),SUMIFS(SCHD_배당!$G$2:$G$90,SCHD_배당!$A$2:$A$90,A55)/COUNTIFS(SCHD_배당!$A$2:$A$90,A55),"")</f>
        <v/>
      </c>
      <c r="F55" s="28">
        <f>AVERAGE($D$2:$D$61)</f>
        <v/>
      </c>
    </row>
    <row r="56">
      <c r="A56" s="45" t="n">
        <v>2025</v>
      </c>
      <c r="B56" s="67" t="n">
        <v>3</v>
      </c>
      <c r="C56" s="45" t="inlineStr">
        <is>
          <t>25 Q3</t>
        </is>
      </c>
      <c r="D56" s="28">
        <f>IF(COUNTIFS(SCHD_배당!$A$2:$A$90,A56,SCHD_배당!$B$2:$B$90,B56)=0,"",SUMIFS(SCHD_배당!$G$2:$G$90,SCHD_배당!$A$2:$A$90,A56,SCHD_배당!$B$2:$B$90,B56))</f>
        <v/>
      </c>
      <c r="E56" s="28">
        <f>IF(AND(D56="",A56=MAX(SCHD_배당!$A$2:$A$90),COUNTIFS(SCHD_배당!$A$2:$A$90,A56)&gt;0),SUMIFS(SCHD_배당!$G$2:$G$90,SCHD_배당!$A$2:$A$90,A56)/COUNTIFS(SCHD_배당!$A$2:$A$90,A56),"")</f>
        <v/>
      </c>
      <c r="F56" s="28">
        <f>AVERAGE($D$2:$D$61)</f>
        <v/>
      </c>
    </row>
    <row r="57">
      <c r="A57" s="45" t="n">
        <v>2025</v>
      </c>
      <c r="B57" s="67" t="n">
        <v>4</v>
      </c>
      <c r="C57" s="45" t="inlineStr">
        <is>
          <t>25 Q4</t>
        </is>
      </c>
      <c r="D57" s="28">
        <f>IF(COUNTIFS(SCHD_배당!$A$2:$A$90,A57,SCHD_배당!$B$2:$B$90,B57)=0,"",SUMIFS(SCHD_배당!$G$2:$G$90,SCHD_배당!$A$2:$A$90,A57,SCHD_배당!$B$2:$B$90,B57))</f>
        <v/>
      </c>
      <c r="E57" s="28">
        <f>IF(AND(D57="",A57=MAX(SCHD_배당!$A$2:$A$90),COUNTIFS(SCHD_배당!$A$2:$A$90,A57)&gt;0),SUMIFS(SCHD_배당!$G$2:$G$90,SCHD_배당!$A$2:$A$90,A57)/COUNTIFS(SCHD_배당!$A$2:$A$90,A57),"")</f>
        <v/>
      </c>
      <c r="F57" s="28">
        <f>AVERAGE($D$2:$D$61)</f>
        <v/>
      </c>
    </row>
    <row r="58">
      <c r="A58" s="45" t="n">
        <v>2026</v>
      </c>
      <c r="B58" s="67" t="n">
        <v>1</v>
      </c>
      <c r="C58" s="45" t="inlineStr">
        <is>
          <t>26 Q1</t>
        </is>
      </c>
      <c r="D58" s="28">
        <f>IF(COUNTIFS(SCHD_배당!$A$2:$A$90,A58,SCHD_배당!$B$2:$B$90,B58)=0,"",SUMIFS(SCHD_배당!$G$2:$G$90,SCHD_배당!$A$2:$A$90,A58,SCHD_배당!$B$2:$B$90,B58))</f>
        <v/>
      </c>
      <c r="E58" s="28">
        <f>IF(AND(D58="",A58=MAX(SCHD_배당!$A$2:$A$90),COUNTIFS(SCHD_배당!$A$2:$A$90,A58)&gt;0),SUMIFS(SCHD_배당!$G$2:$G$90,SCHD_배당!$A$2:$A$90,A58)/COUNTIFS(SCHD_배당!$A$2:$A$90,A58),"")</f>
        <v/>
      </c>
      <c r="F58" s="28">
        <f>AVERAGE($D$2:$D$61)</f>
        <v/>
      </c>
    </row>
    <row r="59">
      <c r="A59" s="45" t="n">
        <v>2026</v>
      </c>
      <c r="B59" s="67" t="n">
        <v>2</v>
      </c>
      <c r="C59" s="45" t="inlineStr">
        <is>
          <t>26 Q2</t>
        </is>
      </c>
      <c r="D59" s="28">
        <f>IF(COUNTIFS(SCHD_배당!$A$2:$A$90,A59,SCHD_배당!$B$2:$B$90,B59)=0,"",SUMIFS(SCHD_배당!$G$2:$G$90,SCHD_배당!$A$2:$A$90,A59,SCHD_배당!$B$2:$B$90,B59))</f>
        <v/>
      </c>
      <c r="E59" s="28">
        <f>IF(AND(D59="",A59=MAX(SCHD_배당!$A$2:$A$90),COUNTIFS(SCHD_배당!$A$2:$A$90,A59)&gt;0),SUMIFS(SCHD_배당!$G$2:$G$90,SCHD_배당!$A$2:$A$90,A59)/COUNTIFS(SCHD_배당!$A$2:$A$90,A59),"")</f>
        <v/>
      </c>
      <c r="F59" s="28">
        <f>AVERAGE($D$2:$D$61)</f>
        <v/>
      </c>
    </row>
    <row r="60">
      <c r="A60" s="45" t="n">
        <v>2026</v>
      </c>
      <c r="B60" s="67" t="n">
        <v>3</v>
      </c>
      <c r="C60" s="45" t="inlineStr">
        <is>
          <t>26 Q3</t>
        </is>
      </c>
      <c r="D60" s="28">
        <f>IF(COUNTIFS(SCHD_배당!$A$2:$A$90,A60,SCHD_배당!$B$2:$B$90,B60)=0,"",SUMIFS(SCHD_배당!$G$2:$G$90,SCHD_배당!$A$2:$A$90,A60,SCHD_배당!$B$2:$B$90,B60))</f>
        <v/>
      </c>
      <c r="E60" s="28">
        <f>IF(AND(D60="",A60=MAX(SCHD_배당!$A$2:$A$90),COUNTIFS(SCHD_배당!$A$2:$A$90,A60)&gt;0),SUMIFS(SCHD_배당!$G$2:$G$90,SCHD_배당!$A$2:$A$90,A60)/COUNTIFS(SCHD_배당!$A$2:$A$90,A60),"")</f>
        <v/>
      </c>
      <c r="F60" s="28">
        <f>AVERAGE($D$2:$D$61)</f>
        <v/>
      </c>
    </row>
    <row r="61">
      <c r="A61" s="45" t="n">
        <v>2026</v>
      </c>
      <c r="B61" s="67" t="n">
        <v>4</v>
      </c>
      <c r="C61" s="45" t="inlineStr">
        <is>
          <t>26 Q4</t>
        </is>
      </c>
      <c r="D61" s="28">
        <f>IF(COUNTIFS(SCHD_배당!$A$2:$A$90,A61,SCHD_배당!$B$2:$B$90,B61)=0,"",SUMIFS(SCHD_배당!$G$2:$G$90,SCHD_배당!$A$2:$A$90,A61,SCHD_배당!$B$2:$B$90,B61))</f>
        <v/>
      </c>
      <c r="E61" s="28">
        <f>IF(AND(D61="",A61=MAX(SCHD_배당!$A$2:$A$90),COUNTIFS(SCHD_배당!$A$2:$A$90,A61)&gt;0),SUMIFS(SCHD_배당!$G$2:$G$90,SCHD_배당!$A$2:$A$90,A61)/COUNTIFS(SCHD_배당!$A$2:$A$90,A61),"")</f>
        <v/>
      </c>
      <c r="F61" s="28">
        <f>AVERAGE($D$2:$D$61)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2026-10-09T13:56:13Z</dcterms:created>
  <dcterms:modified xmlns:dcterms="http://purl.org/dc/terms/" xmlns:xsi="http://www.w3.org/2001/XMLSchema-instance" xsi:type="dcterms:W3CDTF">2026-10-09T13:56:14Z</dcterms:modified>
</cp:coreProperties>
</file>